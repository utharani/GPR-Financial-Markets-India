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Tharani\VIT-MS\Semester 4\EA-Project\SecondReview\"/>
    </mc:Choice>
  </mc:AlternateContent>
  <xr:revisionPtr revIDLastSave="0" documentId="13_ncr:1_{78ACC3A5-5B68-4A49-8181-11CDDDB1599B}" xr6:coauthVersionLast="47" xr6:coauthVersionMax="47" xr10:uidLastSave="{00000000-0000-0000-0000-000000000000}"/>
  <bookViews>
    <workbookView xWindow="-108" yWindow="-108" windowWidth="23256" windowHeight="12456" xr2:uid="{94416A84-A4DD-4CEB-909D-3E067D405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D5" i="1" s="1"/>
  <c r="C8" i="1"/>
  <c r="D8" i="1" s="1"/>
  <c r="C9" i="1"/>
  <c r="D9" i="1" s="1"/>
  <c r="C12" i="1"/>
  <c r="D12" i="1" s="1"/>
  <c r="C13" i="1"/>
  <c r="D13" i="1" s="1"/>
  <c r="C16" i="1"/>
  <c r="D16" i="1" s="1"/>
  <c r="C17" i="1"/>
  <c r="D17" i="1" s="1"/>
  <c r="C20" i="1"/>
  <c r="D20" i="1" s="1"/>
  <c r="C21" i="1"/>
  <c r="D21" i="1" s="1"/>
  <c r="C24" i="1"/>
  <c r="D24" i="1" s="1"/>
  <c r="C25" i="1"/>
  <c r="D25" i="1" s="1"/>
  <c r="C28" i="1"/>
  <c r="D28" i="1" s="1"/>
  <c r="C29" i="1"/>
  <c r="D29" i="1" s="1"/>
  <c r="C32" i="1"/>
  <c r="D32" i="1" s="1"/>
  <c r="C33" i="1"/>
  <c r="D33" i="1" s="1"/>
  <c r="C36" i="1"/>
  <c r="D36" i="1" s="1"/>
  <c r="C37" i="1"/>
  <c r="D37" i="1" s="1"/>
  <c r="C40" i="1"/>
  <c r="D40" i="1" s="1"/>
  <c r="C41" i="1"/>
  <c r="D41" i="1" s="1"/>
  <c r="C44" i="1"/>
  <c r="D44" i="1" s="1"/>
  <c r="C45" i="1"/>
  <c r="D45" i="1" s="1"/>
  <c r="C48" i="1"/>
  <c r="D48" i="1" s="1"/>
  <c r="C49" i="1"/>
  <c r="D49" i="1" s="1"/>
  <c r="C52" i="1"/>
  <c r="D52" i="1" s="1"/>
  <c r="C53" i="1"/>
  <c r="D53" i="1" s="1"/>
  <c r="C56" i="1"/>
  <c r="D56" i="1" s="1"/>
  <c r="C57" i="1"/>
  <c r="D57" i="1" s="1"/>
  <c r="C60" i="1"/>
  <c r="D60" i="1" s="1"/>
  <c r="C61" i="1"/>
  <c r="D61" i="1" s="1"/>
  <c r="C64" i="1"/>
  <c r="D64" i="1" s="1"/>
  <c r="C65" i="1"/>
  <c r="D65" i="1" s="1"/>
  <c r="C68" i="1"/>
  <c r="D68" i="1" s="1"/>
  <c r="C69" i="1"/>
  <c r="D69" i="1" s="1"/>
  <c r="C72" i="1"/>
  <c r="D72" i="1" s="1"/>
  <c r="H9" i="1"/>
  <c r="H8" i="1"/>
  <c r="H6" i="1"/>
  <c r="H7" i="1" s="1"/>
  <c r="H5" i="1"/>
  <c r="H4" i="1"/>
  <c r="H3" i="1"/>
  <c r="C2" i="1" s="1"/>
  <c r="D2" i="1" s="1"/>
  <c r="I3" i="1"/>
  <c r="C71" i="1" l="1"/>
  <c r="D71" i="1" s="1"/>
  <c r="C67" i="1"/>
  <c r="D67" i="1" s="1"/>
  <c r="C63" i="1"/>
  <c r="D63" i="1" s="1"/>
  <c r="C59" i="1"/>
  <c r="D59" i="1" s="1"/>
  <c r="C55" i="1"/>
  <c r="D55" i="1" s="1"/>
  <c r="C51" i="1"/>
  <c r="D51" i="1" s="1"/>
  <c r="C47" i="1"/>
  <c r="D47" i="1" s="1"/>
  <c r="C43" i="1"/>
  <c r="D43" i="1" s="1"/>
  <c r="C39" i="1"/>
  <c r="D39" i="1" s="1"/>
  <c r="C35" i="1"/>
  <c r="D35" i="1" s="1"/>
  <c r="C31" i="1"/>
  <c r="D31" i="1" s="1"/>
  <c r="C27" i="1"/>
  <c r="D27" i="1" s="1"/>
  <c r="C23" i="1"/>
  <c r="D23" i="1" s="1"/>
  <c r="C19" i="1"/>
  <c r="D19" i="1" s="1"/>
  <c r="C15" i="1"/>
  <c r="D15" i="1" s="1"/>
  <c r="C11" i="1"/>
  <c r="D11" i="1" s="1"/>
  <c r="C7" i="1"/>
  <c r="D7" i="1" s="1"/>
  <c r="C3" i="1"/>
  <c r="D3" i="1" s="1"/>
  <c r="C70" i="1"/>
  <c r="D70" i="1" s="1"/>
  <c r="C66" i="1"/>
  <c r="D66" i="1" s="1"/>
  <c r="C62" i="1"/>
  <c r="D62" i="1" s="1"/>
  <c r="C58" i="1"/>
  <c r="D58" i="1" s="1"/>
  <c r="C54" i="1"/>
  <c r="D54" i="1" s="1"/>
  <c r="C50" i="1"/>
  <c r="D50" i="1" s="1"/>
  <c r="C46" i="1"/>
  <c r="D46" i="1" s="1"/>
  <c r="C42" i="1"/>
  <c r="D42" i="1" s="1"/>
  <c r="C38" i="1"/>
  <c r="D38" i="1" s="1"/>
  <c r="C34" i="1"/>
  <c r="D34" i="1" s="1"/>
  <c r="C30" i="1"/>
  <c r="D30" i="1" s="1"/>
  <c r="C26" i="1"/>
  <c r="D26" i="1" s="1"/>
  <c r="C22" i="1"/>
  <c r="D22" i="1" s="1"/>
  <c r="C18" i="1"/>
  <c r="D18" i="1" s="1"/>
  <c r="C14" i="1"/>
  <c r="D14" i="1" s="1"/>
  <c r="C10" i="1"/>
  <c r="D10" i="1" s="1"/>
  <c r="C6" i="1"/>
  <c r="D6" i="1" s="1"/>
  <c r="I8" i="1"/>
  <c r="I9" i="1" s="1"/>
</calcChain>
</file>

<file path=xl/sharedStrings.xml><?xml version="1.0" encoding="utf-8"?>
<sst xmlns="http://schemas.openxmlformats.org/spreadsheetml/2006/main" count="15" uniqueCount="15">
  <si>
    <t>Nifty</t>
  </si>
  <si>
    <t>Descriptive Analysis - NIFTY 2020 - 2025</t>
  </si>
  <si>
    <t>Mean</t>
  </si>
  <si>
    <t>Median</t>
  </si>
  <si>
    <t>Min</t>
  </si>
  <si>
    <t>Max</t>
  </si>
  <si>
    <t>Range</t>
  </si>
  <si>
    <t>Variance</t>
  </si>
  <si>
    <t>Standard Deviation</t>
  </si>
  <si>
    <t>Population</t>
  </si>
  <si>
    <t>Sample</t>
  </si>
  <si>
    <t>x − x̄</t>
  </si>
  <si>
    <t>(x − x̄)²</t>
  </si>
  <si>
    <t>Line Graph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</si>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</sst>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2020 - 2025</a:t>
            </a:r>
          </a:p>
          <a:p>
            <a:pPr>
              <a:defRPr/>
            </a:pPr>
            <a:r>
              <a:rPr lang="en-US"/>
              <a:t> VIT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Nifty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Sheet1!$A$2:$A$72</c:f>
              <c:numCache>
                <c:formatCode>m/d/yyyy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Sheet1!$B$2:$B$72</c:f>
              <c:numCache>
                <c:formatCode>#,##0.00</c:formatCode>
                <c:ptCount val="71"/>
                <c:pt idx="0">
                  <c:v>11962.1</c:v>
                </c:pt>
                <c:pt idx="1">
                  <c:v>11201.75</c:v>
                </c:pt>
                <c:pt idx="2">
                  <c:v>8597.75</c:v>
                </c:pt>
                <c:pt idx="3">
                  <c:v>9859.9</c:v>
                </c:pt>
                <c:pt idx="4">
                  <c:v>9580.2999999999993</c:v>
                </c:pt>
                <c:pt idx="5">
                  <c:v>10302.1</c:v>
                </c:pt>
                <c:pt idx="6">
                  <c:v>11073.45</c:v>
                </c:pt>
                <c:pt idx="7">
                  <c:v>11387.5</c:v>
                </c:pt>
                <c:pt idx="8">
                  <c:v>11247.55</c:v>
                </c:pt>
                <c:pt idx="9">
                  <c:v>11642.4</c:v>
                </c:pt>
                <c:pt idx="10">
                  <c:v>12968.95</c:v>
                </c:pt>
                <c:pt idx="11">
                  <c:v>13981.75</c:v>
                </c:pt>
                <c:pt idx="12">
                  <c:v>13634.6</c:v>
                </c:pt>
                <c:pt idx="13">
                  <c:v>14529.15</c:v>
                </c:pt>
                <c:pt idx="14">
                  <c:v>14690.7</c:v>
                </c:pt>
                <c:pt idx="15">
                  <c:v>14631.1</c:v>
                </c:pt>
                <c:pt idx="16">
                  <c:v>15582.8</c:v>
                </c:pt>
                <c:pt idx="17">
                  <c:v>15721.5</c:v>
                </c:pt>
                <c:pt idx="18">
                  <c:v>15763.05</c:v>
                </c:pt>
                <c:pt idx="19">
                  <c:v>17132.2</c:v>
                </c:pt>
                <c:pt idx="20">
                  <c:v>17618.150000000001</c:v>
                </c:pt>
                <c:pt idx="21">
                  <c:v>17671.650000000001</c:v>
                </c:pt>
                <c:pt idx="22">
                  <c:v>16983.2</c:v>
                </c:pt>
                <c:pt idx="23">
                  <c:v>17354.05</c:v>
                </c:pt>
                <c:pt idx="24">
                  <c:v>17339.849999999999</c:v>
                </c:pt>
                <c:pt idx="25">
                  <c:v>16793.900000000001</c:v>
                </c:pt>
                <c:pt idx="26">
                  <c:v>17464.75</c:v>
                </c:pt>
                <c:pt idx="27">
                  <c:v>17102.55</c:v>
                </c:pt>
                <c:pt idx="28">
                  <c:v>16584.55</c:v>
                </c:pt>
                <c:pt idx="29">
                  <c:v>15780.25</c:v>
                </c:pt>
                <c:pt idx="30">
                  <c:v>17158.25</c:v>
                </c:pt>
                <c:pt idx="31">
                  <c:v>17759.3</c:v>
                </c:pt>
                <c:pt idx="32">
                  <c:v>17094.349999999999</c:v>
                </c:pt>
                <c:pt idx="33">
                  <c:v>18012.2</c:v>
                </c:pt>
                <c:pt idx="34">
                  <c:v>18758.349999999999</c:v>
                </c:pt>
                <c:pt idx="35">
                  <c:v>18105.3</c:v>
                </c:pt>
                <c:pt idx="36">
                  <c:v>17662.150000000001</c:v>
                </c:pt>
                <c:pt idx="37">
                  <c:v>17303.95</c:v>
                </c:pt>
                <c:pt idx="38">
                  <c:v>17359.75</c:v>
                </c:pt>
                <c:pt idx="39">
                  <c:v>18065</c:v>
                </c:pt>
                <c:pt idx="40">
                  <c:v>18534.400000000001</c:v>
                </c:pt>
                <c:pt idx="41">
                  <c:v>19189.05</c:v>
                </c:pt>
                <c:pt idx="42">
                  <c:v>19753.8</c:v>
                </c:pt>
                <c:pt idx="43">
                  <c:v>19253.8</c:v>
                </c:pt>
                <c:pt idx="44">
                  <c:v>19638.3</c:v>
                </c:pt>
                <c:pt idx="45">
                  <c:v>19079.599999999999</c:v>
                </c:pt>
                <c:pt idx="46">
                  <c:v>20133.150000000001</c:v>
                </c:pt>
                <c:pt idx="47">
                  <c:v>21731.4</c:v>
                </c:pt>
                <c:pt idx="48">
                  <c:v>21725.7</c:v>
                </c:pt>
                <c:pt idx="49">
                  <c:v>21982.799999999999</c:v>
                </c:pt>
                <c:pt idx="50">
                  <c:v>22326.9</c:v>
                </c:pt>
                <c:pt idx="51">
                  <c:v>22604.85</c:v>
                </c:pt>
                <c:pt idx="52">
                  <c:v>22530.7</c:v>
                </c:pt>
                <c:pt idx="53">
                  <c:v>24010.6</c:v>
                </c:pt>
                <c:pt idx="54">
                  <c:v>24951.15</c:v>
                </c:pt>
                <c:pt idx="55">
                  <c:v>25235.9</c:v>
                </c:pt>
                <c:pt idx="56">
                  <c:v>25810.85</c:v>
                </c:pt>
                <c:pt idx="57">
                  <c:v>24205.35</c:v>
                </c:pt>
                <c:pt idx="58">
                  <c:v>24131.1</c:v>
                </c:pt>
                <c:pt idx="59">
                  <c:v>23644.799999999999</c:v>
                </c:pt>
                <c:pt idx="60">
                  <c:v>23508.400000000001</c:v>
                </c:pt>
                <c:pt idx="61">
                  <c:v>22124.7</c:v>
                </c:pt>
                <c:pt idx="62">
                  <c:v>23519.35</c:v>
                </c:pt>
                <c:pt idx="63">
                  <c:v>24334.2</c:v>
                </c:pt>
                <c:pt idx="64">
                  <c:v>24750.7</c:v>
                </c:pt>
                <c:pt idx="65">
                  <c:v>25517.05</c:v>
                </c:pt>
                <c:pt idx="66">
                  <c:v>24768.35</c:v>
                </c:pt>
                <c:pt idx="67">
                  <c:v>24426.85</c:v>
                </c:pt>
                <c:pt idx="68">
                  <c:v>24611.1</c:v>
                </c:pt>
                <c:pt idx="69">
                  <c:v>25722.1</c:v>
                </c:pt>
                <c:pt idx="70">
                  <c:v>26202.95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7-4CB3-83AB-8AD6AFAD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57632"/>
        <c:axId val="268355232"/>
      </c:lineChart>
      <c:dateAx>
        <c:axId val="26835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5232"/>
        <c:crosses val="autoZero"/>
        <c:auto val="1"/>
        <c:lblOffset val="100"/>
        <c:baseTimeUnit val="months"/>
      </c:dateAx>
      <c:valAx>
        <c:axId val="2683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Nifty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11</xdr:row>
      <xdr:rowOff>30480</xdr:rowOff>
    </xdr:from>
    <xdr:to>
      <xdr:col>12</xdr:col>
      <xdr:colOff>571500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64F3A-1E22-4157-0019-82F2C3011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C7C9-0B4F-4E0D-93A9-4A93366BCAE8}">
  <dimension ref="A1:J72"/>
  <sheetViews>
    <sheetView tabSelected="1" workbookViewId="0">
      <selection activeCell="E9" sqref="E9"/>
    </sheetView>
  </sheetViews>
  <sheetFormatPr defaultRowHeight="14.4" x14ac:dyDescent="0.3"/>
  <cols>
    <col min="1" max="1" width="10.33203125" bestFit="1" customWidth="1"/>
    <col min="4" max="4" width="11" bestFit="1" customWidth="1"/>
    <col min="8" max="8" width="11.44140625" bestFit="1" customWidth="1"/>
    <col min="9" max="9" width="11" bestFit="1" customWidth="1"/>
  </cols>
  <sheetData>
    <row r="1" spans="1:10" x14ac:dyDescent="0.3">
      <c r="A1" s="4" t="s">
        <v>14</v>
      </c>
      <c r="B1" s="4" t="s">
        <v>0</v>
      </c>
      <c r="C1" s="3" t="s">
        <v>11</v>
      </c>
      <c r="D1" s="3" t="s">
        <v>12</v>
      </c>
      <c r="E1" s="4"/>
      <c r="F1" s="4"/>
      <c r="G1" s="4" t="s">
        <v>1</v>
      </c>
      <c r="H1" s="4"/>
      <c r="I1" s="4"/>
      <c r="J1" s="4"/>
    </row>
    <row r="2" spans="1:10" x14ac:dyDescent="0.3">
      <c r="A2" s="1">
        <v>43831</v>
      </c>
      <c r="B2" s="2">
        <v>11962.1</v>
      </c>
      <c r="C2" s="2">
        <f t="shared" ref="C2:C33" si="0">B2-$H$3</f>
        <v>-6536.8021126760632</v>
      </c>
      <c r="D2">
        <f t="shared" ref="D2:D33" si="1">C2*C2</f>
        <v>42729781.860286243</v>
      </c>
      <c r="H2" t="s">
        <v>10</v>
      </c>
      <c r="I2" t="s">
        <v>9</v>
      </c>
    </row>
    <row r="3" spans="1:10" x14ac:dyDescent="0.3">
      <c r="A3" s="1">
        <v>43862</v>
      </c>
      <c r="B3" s="2">
        <v>11201.75</v>
      </c>
      <c r="C3" s="2">
        <f t="shared" si="0"/>
        <v>-7297.1521126760636</v>
      </c>
      <c r="D3">
        <f t="shared" si="1"/>
        <v>53248428.955532737</v>
      </c>
      <c r="G3" t="s">
        <v>2</v>
      </c>
      <c r="H3" s="2">
        <f>AVERAGE(B2:B72)</f>
        <v>18498.902112676064</v>
      </c>
      <c r="I3" s="2">
        <f>SUM(B2:B72)/71</f>
        <v>18498.902112676064</v>
      </c>
    </row>
    <row r="4" spans="1:10" x14ac:dyDescent="0.3">
      <c r="A4" s="1">
        <v>43891</v>
      </c>
      <c r="B4" s="2">
        <v>8597.75</v>
      </c>
      <c r="C4" s="2">
        <f t="shared" si="0"/>
        <v>-9901.1521126760636</v>
      </c>
      <c r="D4">
        <f t="shared" si="1"/>
        <v>98032813.158349678</v>
      </c>
      <c r="G4" t="s">
        <v>3</v>
      </c>
      <c r="H4" s="2">
        <f>MEDIAN(B2:B72)</f>
        <v>17759.3</v>
      </c>
    </row>
    <row r="5" spans="1:10" x14ac:dyDescent="0.3">
      <c r="A5" s="1">
        <v>43922</v>
      </c>
      <c r="B5" s="2">
        <v>9859.9</v>
      </c>
      <c r="C5" s="2">
        <f t="shared" si="0"/>
        <v>-8639.0021126760639</v>
      </c>
      <c r="D5">
        <f t="shared" si="1"/>
        <v>74632357.50282149</v>
      </c>
      <c r="G5" t="s">
        <v>4</v>
      </c>
      <c r="H5" s="2">
        <f>MIN(B2:B72)</f>
        <v>8597.75</v>
      </c>
    </row>
    <row r="6" spans="1:10" x14ac:dyDescent="0.3">
      <c r="A6" s="1">
        <v>43952</v>
      </c>
      <c r="B6" s="2">
        <v>9580.2999999999993</v>
      </c>
      <c r="C6" s="2">
        <f t="shared" si="0"/>
        <v>-8918.6021126760643</v>
      </c>
      <c r="D6">
        <f t="shared" si="1"/>
        <v>79541463.644229963</v>
      </c>
      <c r="G6" t="s">
        <v>5</v>
      </c>
      <c r="H6" s="2">
        <f>MAX(B3:B73)</f>
        <v>26202.95</v>
      </c>
    </row>
    <row r="7" spans="1:10" x14ac:dyDescent="0.3">
      <c r="A7" s="1">
        <v>43983</v>
      </c>
      <c r="B7" s="2">
        <v>10302.1</v>
      </c>
      <c r="C7" s="2">
        <f t="shared" si="0"/>
        <v>-8196.8021126760632</v>
      </c>
      <c r="D7">
        <f t="shared" si="1"/>
        <v>67187564.874370769</v>
      </c>
      <c r="G7" t="s">
        <v>6</v>
      </c>
      <c r="H7" s="2">
        <f>H6-H5</f>
        <v>17605.2</v>
      </c>
    </row>
    <row r="8" spans="1:10" x14ac:dyDescent="0.3">
      <c r="A8" s="1">
        <v>44013</v>
      </c>
      <c r="B8" s="2">
        <v>11073.45</v>
      </c>
      <c r="C8" s="2">
        <f t="shared" si="0"/>
        <v>-7425.4521126760628</v>
      </c>
      <c r="D8">
        <f t="shared" si="1"/>
        <v>55137339.077645406</v>
      </c>
      <c r="G8" t="s">
        <v>7</v>
      </c>
      <c r="H8">
        <f>_xlfn.VAR.S(B2:B72)</f>
        <v>22234126.523030963</v>
      </c>
      <c r="I8">
        <f>SUM(D2:D72)/71</f>
        <v>21920969.811439194</v>
      </c>
    </row>
    <row r="9" spans="1:10" x14ac:dyDescent="0.3">
      <c r="A9" s="1">
        <v>44044</v>
      </c>
      <c r="B9" s="2">
        <v>11387.5</v>
      </c>
      <c r="C9" s="2">
        <f t="shared" si="0"/>
        <v>-7111.4021126760636</v>
      </c>
      <c r="D9">
        <f t="shared" si="1"/>
        <v>50572040.008173577</v>
      </c>
      <c r="G9" t="s">
        <v>8</v>
      </c>
      <c r="H9">
        <f>_xlfn.STDEV.S(B2:B72)</f>
        <v>4715.3076806324061</v>
      </c>
      <c r="I9">
        <f>SQRT(I8)</f>
        <v>4681.9835338710018</v>
      </c>
    </row>
    <row r="10" spans="1:10" x14ac:dyDescent="0.3">
      <c r="A10" s="1">
        <v>44075</v>
      </c>
      <c r="B10" s="2">
        <v>11247.55</v>
      </c>
      <c r="C10" s="2">
        <f t="shared" si="0"/>
        <v>-7251.3521126760643</v>
      </c>
      <c r="D10">
        <f t="shared" si="1"/>
        <v>52582107.46201162</v>
      </c>
    </row>
    <row r="11" spans="1:10" x14ac:dyDescent="0.3">
      <c r="A11" s="1">
        <v>44105</v>
      </c>
      <c r="B11" s="2">
        <v>11642.4</v>
      </c>
      <c r="C11" s="2">
        <f t="shared" si="0"/>
        <v>-6856.5021126760639</v>
      </c>
      <c r="D11">
        <f t="shared" si="1"/>
        <v>47011621.221131325</v>
      </c>
      <c r="G11" s="4" t="s">
        <v>13</v>
      </c>
    </row>
    <row r="12" spans="1:10" x14ac:dyDescent="0.3">
      <c r="A12" s="1">
        <v>44136</v>
      </c>
      <c r="B12" s="2">
        <v>12968.95</v>
      </c>
      <c r="C12" s="2">
        <f t="shared" si="0"/>
        <v>-5529.9521126760628</v>
      </c>
      <c r="D12">
        <f t="shared" si="1"/>
        <v>30580370.36849045</v>
      </c>
    </row>
    <row r="13" spans="1:10" x14ac:dyDescent="0.3">
      <c r="A13" s="1">
        <v>44166</v>
      </c>
      <c r="B13" s="2">
        <v>13981.75</v>
      </c>
      <c r="C13" s="2">
        <f t="shared" si="0"/>
        <v>-4517.1521126760636</v>
      </c>
      <c r="D13">
        <f t="shared" si="1"/>
        <v>20404663.209053826</v>
      </c>
    </row>
    <row r="14" spans="1:10" x14ac:dyDescent="0.3">
      <c r="A14" s="1">
        <v>44197</v>
      </c>
      <c r="B14" s="2">
        <v>13634.6</v>
      </c>
      <c r="C14" s="2">
        <f t="shared" si="0"/>
        <v>-4864.3021126760632</v>
      </c>
      <c r="D14">
        <f t="shared" si="1"/>
        <v>23661435.043384813</v>
      </c>
    </row>
    <row r="15" spans="1:10" x14ac:dyDescent="0.3">
      <c r="A15" s="1">
        <v>44228</v>
      </c>
      <c r="B15" s="2">
        <v>14529.15</v>
      </c>
      <c r="C15" s="2">
        <f t="shared" si="0"/>
        <v>-3969.7521126760639</v>
      </c>
      <c r="D15">
        <f t="shared" si="1"/>
        <v>15758931.836096073</v>
      </c>
    </row>
    <row r="16" spans="1:10" x14ac:dyDescent="0.3">
      <c r="A16" s="1">
        <v>44256</v>
      </c>
      <c r="B16" s="2">
        <v>14690.7</v>
      </c>
      <c r="C16" s="2">
        <f t="shared" si="0"/>
        <v>-3808.2021126760628</v>
      </c>
      <c r="D16">
        <f t="shared" si="1"/>
        <v>14502403.330990428</v>
      </c>
    </row>
    <row r="17" spans="1:4" x14ac:dyDescent="0.3">
      <c r="A17" s="1">
        <v>44287</v>
      </c>
      <c r="B17" s="2">
        <v>14631.1</v>
      </c>
      <c r="C17" s="2">
        <f t="shared" si="0"/>
        <v>-3867.8021126760632</v>
      </c>
      <c r="D17">
        <f t="shared" si="1"/>
        <v>14959893.182821417</v>
      </c>
    </row>
    <row r="18" spans="1:4" x14ac:dyDescent="0.3">
      <c r="A18" s="1">
        <v>44317</v>
      </c>
      <c r="B18" s="2">
        <v>15582.8</v>
      </c>
      <c r="C18" s="2">
        <f t="shared" si="0"/>
        <v>-2916.1021126760643</v>
      </c>
      <c r="D18">
        <f t="shared" si="1"/>
        <v>8503651.5315538049</v>
      </c>
    </row>
    <row r="19" spans="1:4" x14ac:dyDescent="0.3">
      <c r="A19" s="1">
        <v>44348</v>
      </c>
      <c r="B19" s="2">
        <v>15721.5</v>
      </c>
      <c r="C19" s="2">
        <f t="shared" si="0"/>
        <v>-2777.4021126760636</v>
      </c>
      <c r="D19">
        <f t="shared" si="1"/>
        <v>7713962.4954974614</v>
      </c>
    </row>
    <row r="20" spans="1:4" x14ac:dyDescent="0.3">
      <c r="A20" s="1">
        <v>44378</v>
      </c>
      <c r="B20" s="2">
        <v>15763.05</v>
      </c>
      <c r="C20" s="2">
        <f t="shared" si="0"/>
        <v>-2735.8521126760643</v>
      </c>
      <c r="D20">
        <f t="shared" si="1"/>
        <v>7484886.7824340845</v>
      </c>
    </row>
    <row r="21" spans="1:4" x14ac:dyDescent="0.3">
      <c r="A21" s="1">
        <v>44409</v>
      </c>
      <c r="B21" s="2">
        <v>17132.2</v>
      </c>
      <c r="C21" s="2">
        <f t="shared" si="0"/>
        <v>-1366.7021126760628</v>
      </c>
      <c r="D21">
        <f t="shared" si="1"/>
        <v>1867874.6647932136</v>
      </c>
    </row>
    <row r="22" spans="1:4" x14ac:dyDescent="0.3">
      <c r="A22" s="1">
        <v>44440</v>
      </c>
      <c r="B22" s="2">
        <v>17618.150000000001</v>
      </c>
      <c r="C22" s="2">
        <f t="shared" si="0"/>
        <v>-880.7521126760621</v>
      </c>
      <c r="D22">
        <f t="shared" si="1"/>
        <v>775724.28398334677</v>
      </c>
    </row>
    <row r="23" spans="1:4" x14ac:dyDescent="0.3">
      <c r="A23" s="1">
        <v>44470</v>
      </c>
      <c r="B23" s="2">
        <v>17671.650000000001</v>
      </c>
      <c r="C23" s="2">
        <f t="shared" si="0"/>
        <v>-827.2521126760621</v>
      </c>
      <c r="D23">
        <f t="shared" si="1"/>
        <v>684346.05792700814</v>
      </c>
    </row>
    <row r="24" spans="1:4" x14ac:dyDescent="0.3">
      <c r="A24" s="1">
        <v>44501</v>
      </c>
      <c r="B24" s="2">
        <v>16983.2</v>
      </c>
      <c r="C24" s="2">
        <f t="shared" si="0"/>
        <v>-1515.7021126760628</v>
      </c>
      <c r="D24">
        <f t="shared" si="1"/>
        <v>2297352.8943706802</v>
      </c>
    </row>
    <row r="25" spans="1:4" x14ac:dyDescent="0.3">
      <c r="A25" s="1">
        <v>44531</v>
      </c>
      <c r="B25" s="2">
        <v>17354.05</v>
      </c>
      <c r="C25" s="2">
        <f t="shared" si="0"/>
        <v>-1144.8521126760643</v>
      </c>
      <c r="D25">
        <f t="shared" si="1"/>
        <v>1310686.3598988478</v>
      </c>
    </row>
    <row r="26" spans="1:4" x14ac:dyDescent="0.3">
      <c r="A26" s="1">
        <v>44562</v>
      </c>
      <c r="B26" s="2">
        <v>17339.849999999999</v>
      </c>
      <c r="C26" s="2">
        <f t="shared" si="0"/>
        <v>-1159.052112676065</v>
      </c>
      <c r="D26">
        <f t="shared" si="1"/>
        <v>1343401.7998988498</v>
      </c>
    </row>
    <row r="27" spans="1:4" x14ac:dyDescent="0.3">
      <c r="A27" s="1">
        <v>44593</v>
      </c>
      <c r="B27" s="2">
        <v>16793.900000000001</v>
      </c>
      <c r="C27" s="2">
        <f t="shared" si="0"/>
        <v>-1705.0021126760621</v>
      </c>
      <c r="D27">
        <f t="shared" si="1"/>
        <v>2907032.204229835</v>
      </c>
    </row>
    <row r="28" spans="1:4" x14ac:dyDescent="0.3">
      <c r="A28" s="1">
        <v>44621</v>
      </c>
      <c r="B28" s="2">
        <v>17464.75</v>
      </c>
      <c r="C28" s="2">
        <f t="shared" si="0"/>
        <v>-1034.1521126760636</v>
      </c>
      <c r="D28">
        <f t="shared" si="1"/>
        <v>1069470.5921523657</v>
      </c>
    </row>
    <row r="29" spans="1:4" x14ac:dyDescent="0.3">
      <c r="A29" s="1">
        <v>44652</v>
      </c>
      <c r="B29" s="2">
        <v>17102.55</v>
      </c>
      <c r="C29" s="2">
        <f t="shared" si="0"/>
        <v>-1396.3521126760643</v>
      </c>
      <c r="D29">
        <f t="shared" si="1"/>
        <v>1949799.2225749081</v>
      </c>
    </row>
    <row r="30" spans="1:4" x14ac:dyDescent="0.3">
      <c r="A30" s="1">
        <v>44682</v>
      </c>
      <c r="B30" s="2">
        <v>16584.55</v>
      </c>
      <c r="C30" s="2">
        <f t="shared" si="0"/>
        <v>-1914.3521126760643</v>
      </c>
      <c r="D30">
        <f t="shared" si="1"/>
        <v>3664744.0113073108</v>
      </c>
    </row>
    <row r="31" spans="1:4" x14ac:dyDescent="0.3">
      <c r="A31" s="1">
        <v>44713</v>
      </c>
      <c r="B31" s="2">
        <v>15780.25</v>
      </c>
      <c r="C31" s="2">
        <f t="shared" si="0"/>
        <v>-2718.6521126760636</v>
      </c>
      <c r="D31">
        <f t="shared" si="1"/>
        <v>7391069.3097580234</v>
      </c>
    </row>
    <row r="32" spans="1:4" x14ac:dyDescent="0.3">
      <c r="A32" s="1">
        <v>44743</v>
      </c>
      <c r="B32" s="2">
        <v>17158.25</v>
      </c>
      <c r="C32" s="2">
        <f t="shared" si="0"/>
        <v>-1340.6521126760636</v>
      </c>
      <c r="D32">
        <f t="shared" si="1"/>
        <v>1797348.0872227927</v>
      </c>
    </row>
    <row r="33" spans="1:4" x14ac:dyDescent="0.3">
      <c r="A33" s="1">
        <v>44774</v>
      </c>
      <c r="B33" s="2">
        <v>17759.3</v>
      </c>
      <c r="C33" s="2">
        <f t="shared" si="0"/>
        <v>-739.60211267606428</v>
      </c>
      <c r="D33">
        <f t="shared" si="1"/>
        <v>547011.28507489769</v>
      </c>
    </row>
    <row r="34" spans="1:4" x14ac:dyDescent="0.3">
      <c r="A34" s="1">
        <v>44805</v>
      </c>
      <c r="B34" s="2">
        <v>17094.349999999999</v>
      </c>
      <c r="C34" s="2">
        <f t="shared" ref="C34:C65" si="2">B34-$H$3</f>
        <v>-1404.552112676065</v>
      </c>
      <c r="D34">
        <f t="shared" ref="D34:D65" si="3">C34*C34</f>
        <v>1972766.6372227976</v>
      </c>
    </row>
    <row r="35" spans="1:4" x14ac:dyDescent="0.3">
      <c r="A35" s="1">
        <v>44835</v>
      </c>
      <c r="B35" s="2">
        <v>18012.2</v>
      </c>
      <c r="C35" s="2">
        <f t="shared" si="2"/>
        <v>-486.70211267606282</v>
      </c>
      <c r="D35">
        <f t="shared" si="3"/>
        <v>236878.94648334297</v>
      </c>
    </row>
    <row r="36" spans="1:4" x14ac:dyDescent="0.3">
      <c r="A36" s="1">
        <v>44866</v>
      </c>
      <c r="B36" s="2">
        <v>18758.349999999999</v>
      </c>
      <c r="C36" s="2">
        <f t="shared" si="2"/>
        <v>259.44788732393499</v>
      </c>
      <c r="D36">
        <f t="shared" si="3"/>
        <v>67313.206236853264</v>
      </c>
    </row>
    <row r="37" spans="1:4" x14ac:dyDescent="0.3">
      <c r="A37" s="1">
        <v>44896</v>
      </c>
      <c r="B37" s="2">
        <v>18105.3</v>
      </c>
      <c r="C37" s="2">
        <f t="shared" si="2"/>
        <v>-393.60211267606428</v>
      </c>
      <c r="D37">
        <f t="shared" si="3"/>
        <v>154922.6231030612</v>
      </c>
    </row>
    <row r="38" spans="1:4" x14ac:dyDescent="0.3">
      <c r="A38" s="1">
        <v>44927</v>
      </c>
      <c r="B38" s="2">
        <v>17662.150000000001</v>
      </c>
      <c r="C38" s="2">
        <f t="shared" si="2"/>
        <v>-836.7521126760621</v>
      </c>
      <c r="D38">
        <f t="shared" si="3"/>
        <v>700154.09806785337</v>
      </c>
    </row>
    <row r="39" spans="1:4" x14ac:dyDescent="0.3">
      <c r="A39" s="1">
        <v>44958</v>
      </c>
      <c r="B39" s="2">
        <v>17303.95</v>
      </c>
      <c r="C39" s="2">
        <f t="shared" si="2"/>
        <v>-1194.9521126760628</v>
      </c>
      <c r="D39">
        <f t="shared" si="3"/>
        <v>1427910.5515889858</v>
      </c>
    </row>
    <row r="40" spans="1:4" x14ac:dyDescent="0.3">
      <c r="A40" s="1">
        <v>44986</v>
      </c>
      <c r="B40" s="2">
        <v>17359.75</v>
      </c>
      <c r="C40" s="2">
        <f t="shared" si="2"/>
        <v>-1139.1521126760636</v>
      </c>
      <c r="D40">
        <f t="shared" si="3"/>
        <v>1297667.5358143391</v>
      </c>
    </row>
    <row r="41" spans="1:4" x14ac:dyDescent="0.3">
      <c r="A41" s="1">
        <v>45017</v>
      </c>
      <c r="B41" s="2">
        <v>18065</v>
      </c>
      <c r="C41" s="2">
        <f t="shared" si="2"/>
        <v>-433.90211267606355</v>
      </c>
      <c r="D41">
        <f t="shared" si="3"/>
        <v>188271.04338475136</v>
      </c>
    </row>
    <row r="42" spans="1:4" x14ac:dyDescent="0.3">
      <c r="A42" s="1">
        <v>45047</v>
      </c>
      <c r="B42" s="2">
        <v>18534.400000000001</v>
      </c>
      <c r="C42" s="2">
        <f t="shared" si="2"/>
        <v>35.497887323937903</v>
      </c>
      <c r="D42">
        <f t="shared" si="3"/>
        <v>1260.1000044629911</v>
      </c>
    </row>
    <row r="43" spans="1:4" x14ac:dyDescent="0.3">
      <c r="A43" s="1">
        <v>45078</v>
      </c>
      <c r="B43" s="2">
        <v>19189.05</v>
      </c>
      <c r="C43" s="2">
        <f t="shared" si="2"/>
        <v>690.14788732393572</v>
      </c>
      <c r="D43">
        <f t="shared" si="3"/>
        <v>476304.10637769185</v>
      </c>
    </row>
    <row r="44" spans="1:4" x14ac:dyDescent="0.3">
      <c r="A44" s="1">
        <v>45108</v>
      </c>
      <c r="B44" s="2">
        <v>19753.8</v>
      </c>
      <c r="C44" s="2">
        <f t="shared" si="2"/>
        <v>1254.8978873239357</v>
      </c>
      <c r="D44">
        <f t="shared" si="3"/>
        <v>1574768.7076100772</v>
      </c>
    </row>
    <row r="45" spans="1:4" x14ac:dyDescent="0.3">
      <c r="A45" s="1">
        <v>45139</v>
      </c>
      <c r="B45" s="2">
        <v>19253.8</v>
      </c>
      <c r="C45" s="2">
        <f t="shared" si="2"/>
        <v>754.89788732393572</v>
      </c>
      <c r="D45">
        <f t="shared" si="3"/>
        <v>569870.82028614159</v>
      </c>
    </row>
    <row r="46" spans="1:4" x14ac:dyDescent="0.3">
      <c r="A46" s="1">
        <v>45170</v>
      </c>
      <c r="B46" s="2">
        <v>19638.3</v>
      </c>
      <c r="C46" s="2">
        <f t="shared" si="2"/>
        <v>1139.3978873239357</v>
      </c>
      <c r="D46">
        <f t="shared" si="3"/>
        <v>1298227.5456382481</v>
      </c>
    </row>
    <row r="47" spans="1:4" x14ac:dyDescent="0.3">
      <c r="A47" s="1">
        <v>45200</v>
      </c>
      <c r="B47" s="2">
        <v>19079.599999999999</v>
      </c>
      <c r="C47" s="2">
        <f t="shared" si="2"/>
        <v>580.69788732393499</v>
      </c>
      <c r="D47">
        <f t="shared" si="3"/>
        <v>337210.0363424815</v>
      </c>
    </row>
    <row r="48" spans="1:4" x14ac:dyDescent="0.3">
      <c r="A48" s="1">
        <v>45231</v>
      </c>
      <c r="B48" s="2">
        <v>20133.150000000001</v>
      </c>
      <c r="C48" s="2">
        <f t="shared" si="2"/>
        <v>1634.2478873239379</v>
      </c>
      <c r="D48">
        <f t="shared" si="3"/>
        <v>2670766.1572227543</v>
      </c>
    </row>
    <row r="49" spans="1:4" x14ac:dyDescent="0.3">
      <c r="A49" s="1">
        <v>45261</v>
      </c>
      <c r="B49" s="2">
        <v>21731.4</v>
      </c>
      <c r="C49" s="2">
        <f t="shared" si="2"/>
        <v>3232.4978873239379</v>
      </c>
      <c r="D49">
        <f t="shared" si="3"/>
        <v>10449042.591553722</v>
      </c>
    </row>
    <row r="50" spans="1:4" x14ac:dyDescent="0.3">
      <c r="A50" s="1">
        <v>45292</v>
      </c>
      <c r="B50" s="2">
        <v>21725.7</v>
      </c>
      <c r="C50" s="2">
        <f t="shared" si="2"/>
        <v>3226.7978873239372</v>
      </c>
      <c r="D50">
        <f t="shared" si="3"/>
        <v>10412224.605638225</v>
      </c>
    </row>
    <row r="51" spans="1:4" x14ac:dyDescent="0.3">
      <c r="A51" s="1">
        <v>45323</v>
      </c>
      <c r="B51" s="2">
        <v>21982.799999999999</v>
      </c>
      <c r="C51" s="2">
        <f t="shared" si="2"/>
        <v>3483.8978873239357</v>
      </c>
      <c r="D51">
        <f t="shared" si="3"/>
        <v>12137544.489300182</v>
      </c>
    </row>
    <row r="52" spans="1:4" x14ac:dyDescent="0.3">
      <c r="A52" s="1">
        <v>45352</v>
      </c>
      <c r="B52" s="2">
        <v>22326.9</v>
      </c>
      <c r="C52" s="2">
        <f t="shared" si="2"/>
        <v>3827.9978873239379</v>
      </c>
      <c r="D52">
        <f t="shared" si="3"/>
        <v>14653567.825356532</v>
      </c>
    </row>
    <row r="53" spans="1:4" x14ac:dyDescent="0.3">
      <c r="A53" s="1">
        <v>45383</v>
      </c>
      <c r="B53" s="2">
        <v>22604.85</v>
      </c>
      <c r="C53" s="2">
        <f t="shared" si="2"/>
        <v>4105.947887323935</v>
      </c>
      <c r="D53">
        <f t="shared" si="3"/>
        <v>16858808.053419884</v>
      </c>
    </row>
    <row r="54" spans="1:4" x14ac:dyDescent="0.3">
      <c r="A54" s="1">
        <v>45413</v>
      </c>
      <c r="B54" s="2">
        <v>22530.7</v>
      </c>
      <c r="C54" s="2">
        <f t="shared" si="2"/>
        <v>4031.7978873239372</v>
      </c>
      <c r="D54">
        <f t="shared" si="3"/>
        <v>16255394.204229763</v>
      </c>
    </row>
    <row r="55" spans="1:4" x14ac:dyDescent="0.3">
      <c r="A55" s="1">
        <v>45444</v>
      </c>
      <c r="B55" s="2">
        <v>24010.6</v>
      </c>
      <c r="C55" s="2">
        <f t="shared" si="2"/>
        <v>5511.697887323935</v>
      </c>
      <c r="D55">
        <f t="shared" si="3"/>
        <v>30378813.60113113</v>
      </c>
    </row>
    <row r="56" spans="1:4" x14ac:dyDescent="0.3">
      <c r="A56" s="1">
        <v>45474</v>
      </c>
      <c r="B56" s="2">
        <v>24951.15</v>
      </c>
      <c r="C56" s="2">
        <f t="shared" si="2"/>
        <v>6452.2478873239379</v>
      </c>
      <c r="D56">
        <f t="shared" si="3"/>
        <v>41631502.799476221</v>
      </c>
    </row>
    <row r="57" spans="1:4" x14ac:dyDescent="0.3">
      <c r="A57" s="1">
        <v>45505</v>
      </c>
      <c r="B57" s="2">
        <v>25235.9</v>
      </c>
      <c r="C57" s="2">
        <f t="shared" si="2"/>
        <v>6736.9978873239379</v>
      </c>
      <c r="D57">
        <f t="shared" si="3"/>
        <v>45387140.533807203</v>
      </c>
    </row>
    <row r="58" spans="1:4" x14ac:dyDescent="0.3">
      <c r="A58" s="1">
        <v>45536</v>
      </c>
      <c r="B58" s="2">
        <v>25810.85</v>
      </c>
      <c r="C58" s="2">
        <f t="shared" si="2"/>
        <v>7311.947887323935</v>
      </c>
      <c r="D58">
        <f t="shared" si="3"/>
        <v>53464581.906940959</v>
      </c>
    </row>
    <row r="59" spans="1:4" x14ac:dyDescent="0.3">
      <c r="A59" s="1">
        <v>45566</v>
      </c>
      <c r="B59" s="2">
        <v>24205.35</v>
      </c>
      <c r="C59" s="2">
        <f t="shared" si="2"/>
        <v>5706.447887323935</v>
      </c>
      <c r="D59">
        <f t="shared" si="3"/>
        <v>32563547.490743801</v>
      </c>
    </row>
    <row r="60" spans="1:4" x14ac:dyDescent="0.3">
      <c r="A60" s="1">
        <v>45597</v>
      </c>
      <c r="B60" s="2">
        <v>24131.1</v>
      </c>
      <c r="C60" s="2">
        <f t="shared" si="2"/>
        <v>5632.197887323935</v>
      </c>
      <c r="D60">
        <f t="shared" si="3"/>
        <v>31721653.041976199</v>
      </c>
    </row>
    <row r="61" spans="1:4" x14ac:dyDescent="0.3">
      <c r="A61" s="1">
        <v>45627</v>
      </c>
      <c r="B61" s="2">
        <v>23644.799999999999</v>
      </c>
      <c r="C61" s="2">
        <f t="shared" si="2"/>
        <v>5145.8978873239357</v>
      </c>
      <c r="D61">
        <f t="shared" si="3"/>
        <v>26480265.066764943</v>
      </c>
    </row>
    <row r="62" spans="1:4" x14ac:dyDescent="0.3">
      <c r="A62" s="1">
        <v>45658</v>
      </c>
      <c r="B62" s="2">
        <v>23508.400000000001</v>
      </c>
      <c r="C62" s="2">
        <f t="shared" si="2"/>
        <v>5009.4978873239379</v>
      </c>
      <c r="D62">
        <f t="shared" si="3"/>
        <v>25095069.083102997</v>
      </c>
    </row>
    <row r="63" spans="1:4" x14ac:dyDescent="0.3">
      <c r="A63" s="1">
        <v>45689</v>
      </c>
      <c r="B63" s="2">
        <v>22124.7</v>
      </c>
      <c r="C63" s="2">
        <f t="shared" si="2"/>
        <v>3625.7978873239372</v>
      </c>
      <c r="D63">
        <f t="shared" si="3"/>
        <v>13146410.319722727</v>
      </c>
    </row>
    <row r="64" spans="1:4" x14ac:dyDescent="0.3">
      <c r="A64" s="1">
        <v>45717</v>
      </c>
      <c r="B64" s="2">
        <v>23519.35</v>
      </c>
      <c r="C64" s="2">
        <f t="shared" si="2"/>
        <v>5020.447887323935</v>
      </c>
      <c r="D64">
        <f t="shared" si="3"/>
        <v>25204896.989335362</v>
      </c>
    </row>
    <row r="65" spans="1:4" x14ac:dyDescent="0.3">
      <c r="A65" s="1">
        <v>45748</v>
      </c>
      <c r="B65" s="2">
        <v>24334.2</v>
      </c>
      <c r="C65" s="2">
        <f t="shared" si="2"/>
        <v>5835.2978873239372</v>
      </c>
      <c r="D65">
        <f t="shared" si="3"/>
        <v>34050701.433807202</v>
      </c>
    </row>
    <row r="66" spans="1:4" x14ac:dyDescent="0.3">
      <c r="A66" s="1">
        <v>45778</v>
      </c>
      <c r="B66" s="2">
        <v>24750.7</v>
      </c>
      <c r="C66" s="2">
        <f t="shared" ref="C66:C97" si="4">B66-$H$3</f>
        <v>6251.7978873239372</v>
      </c>
      <c r="D66">
        <f t="shared" ref="D66:D97" si="5">C66*C66</f>
        <v>39084976.823948041</v>
      </c>
    </row>
    <row r="67" spans="1:4" x14ac:dyDescent="0.3">
      <c r="A67" s="1">
        <v>45809</v>
      </c>
      <c r="B67" s="2">
        <v>25517.05</v>
      </c>
      <c r="C67" s="2">
        <f t="shared" si="4"/>
        <v>7018.1478873239357</v>
      </c>
      <c r="D67">
        <f t="shared" si="5"/>
        <v>49254399.768349424</v>
      </c>
    </row>
    <row r="68" spans="1:4" x14ac:dyDescent="0.3">
      <c r="A68" s="1">
        <v>45839</v>
      </c>
      <c r="B68" s="2">
        <v>24768.35</v>
      </c>
      <c r="C68" s="2">
        <f t="shared" si="4"/>
        <v>6269.447887323935</v>
      </c>
      <c r="D68">
        <f t="shared" si="5"/>
        <v>39305976.811870553</v>
      </c>
    </row>
    <row r="69" spans="1:4" x14ac:dyDescent="0.3">
      <c r="A69" s="1">
        <v>45870</v>
      </c>
      <c r="B69" s="2">
        <v>24426.85</v>
      </c>
      <c r="C69" s="2">
        <f t="shared" si="4"/>
        <v>5927.947887323935</v>
      </c>
      <c r="D69">
        <f t="shared" si="5"/>
        <v>35140566.154828303</v>
      </c>
    </row>
    <row r="70" spans="1:4" x14ac:dyDescent="0.3">
      <c r="A70" s="1">
        <v>45901</v>
      </c>
      <c r="B70" s="2">
        <v>24611.1</v>
      </c>
      <c r="C70" s="2">
        <f t="shared" si="4"/>
        <v>6112.197887323935</v>
      </c>
      <c r="D70">
        <f t="shared" si="5"/>
        <v>37358963.013807178</v>
      </c>
    </row>
    <row r="71" spans="1:4" x14ac:dyDescent="0.3">
      <c r="A71" s="1">
        <v>45931</v>
      </c>
      <c r="B71" s="2">
        <v>25722.1</v>
      </c>
      <c r="C71" s="2">
        <f t="shared" si="4"/>
        <v>7223.197887323935</v>
      </c>
      <c r="D71">
        <f t="shared" si="5"/>
        <v>52174587.719440959</v>
      </c>
    </row>
    <row r="72" spans="1:4" x14ac:dyDescent="0.3">
      <c r="A72" s="1">
        <v>45962</v>
      </c>
      <c r="B72" s="2">
        <v>26202.95</v>
      </c>
      <c r="C72" s="2">
        <f t="shared" si="4"/>
        <v>7704.0478873239372</v>
      </c>
      <c r="D72">
        <f t="shared" si="5"/>
        <v>59352353.850180417</v>
      </c>
    </row>
  </sheetData>
  <sortState xmlns:xlrd2="http://schemas.microsoft.com/office/spreadsheetml/2017/richdata2" ref="A2:D72">
    <sortCondition ref="A2:A7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cp:lastPrinted>2025-12-16T19:49:47Z</cp:lastPrinted>
  <dcterms:created xsi:type="dcterms:W3CDTF">2025-12-16T19:10:12Z</dcterms:created>
  <dcterms:modified xsi:type="dcterms:W3CDTF">2025-12-17T06:42:49Z</dcterms:modified>
</cp:coreProperties>
</file>