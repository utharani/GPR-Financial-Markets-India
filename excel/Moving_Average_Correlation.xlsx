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Tharani\VIT-MS\Semester 4\EA-Project\SecondReview\excel_analysis\"/>
    </mc:Choice>
  </mc:AlternateContent>
  <xr:revisionPtr revIDLastSave="0" documentId="13_ncr:1_{FB3F2371-46AE-48E6-BE96-42E8D65DDA7F}" xr6:coauthVersionLast="47" xr6:coauthVersionMax="47" xr10:uidLastSave="{00000000-0000-0000-0000-000000000000}"/>
  <bookViews>
    <workbookView xWindow="-108" yWindow="-108" windowWidth="23256" windowHeight="12456" activeTab="3" xr2:uid="{596C0ED9-977C-44CC-B9FD-8D63AD514132}"/>
  </bookViews>
  <sheets>
    <sheet name="Data" sheetId="1" r:id="rId1"/>
    <sheet name="LineGraph" sheetId="2" r:id="rId2"/>
    <sheet name="Moving-Average-Actual-3MA-6MA" sheetId="3" r:id="rId3"/>
    <sheet name="Correlation-GPR-Gold" sheetId="4" r:id="rId4"/>
    <sheet name="Correlation-GPR-Nifty" sheetId="5" r:id="rId5"/>
    <sheet name="Correlation-GPR-USDIN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6" l="1"/>
  <c r="D69" i="6" s="1"/>
  <c r="G69" i="6" s="1"/>
  <c r="A80" i="6"/>
  <c r="A77" i="6"/>
  <c r="C71" i="6" s="1"/>
  <c r="B73" i="6"/>
  <c r="A73" i="6"/>
  <c r="C68" i="6"/>
  <c r="F68" i="6" s="1"/>
  <c r="C64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8" i="6"/>
  <c r="C4" i="6"/>
  <c r="C3" i="6"/>
  <c r="F3" i="6" s="1"/>
  <c r="B77" i="5"/>
  <c r="D71" i="5" s="1"/>
  <c r="G71" i="5" s="1"/>
  <c r="A73" i="5"/>
  <c r="B73" i="5"/>
  <c r="A80" i="5"/>
  <c r="A77" i="5"/>
  <c r="F72" i="5"/>
  <c r="D72" i="5"/>
  <c r="G72" i="5" s="1"/>
  <c r="C72" i="5"/>
  <c r="C71" i="5"/>
  <c r="F71" i="5" s="1"/>
  <c r="F70" i="5"/>
  <c r="D70" i="5"/>
  <c r="G70" i="5" s="1"/>
  <c r="C70" i="5"/>
  <c r="F69" i="5"/>
  <c r="D69" i="5"/>
  <c r="G69" i="5" s="1"/>
  <c r="C69" i="5"/>
  <c r="F68" i="5"/>
  <c r="D68" i="5"/>
  <c r="G68" i="5" s="1"/>
  <c r="C68" i="5"/>
  <c r="D67" i="5"/>
  <c r="G67" i="5" s="1"/>
  <c r="C67" i="5"/>
  <c r="F67" i="5" s="1"/>
  <c r="F66" i="5"/>
  <c r="D66" i="5"/>
  <c r="G66" i="5" s="1"/>
  <c r="C66" i="5"/>
  <c r="F65" i="5"/>
  <c r="D65" i="5"/>
  <c r="G65" i="5" s="1"/>
  <c r="C65" i="5"/>
  <c r="F64" i="5"/>
  <c r="D64" i="5"/>
  <c r="G64" i="5" s="1"/>
  <c r="C64" i="5"/>
  <c r="D63" i="5"/>
  <c r="G63" i="5" s="1"/>
  <c r="C63" i="5"/>
  <c r="F63" i="5" s="1"/>
  <c r="F62" i="5"/>
  <c r="D62" i="5"/>
  <c r="G62" i="5" s="1"/>
  <c r="C62" i="5"/>
  <c r="F61" i="5"/>
  <c r="D61" i="5"/>
  <c r="E61" i="5" s="1"/>
  <c r="C61" i="5"/>
  <c r="F60" i="5"/>
  <c r="D60" i="5"/>
  <c r="G60" i="5" s="1"/>
  <c r="C60" i="5"/>
  <c r="E60" i="5" s="1"/>
  <c r="D59" i="5"/>
  <c r="G59" i="5" s="1"/>
  <c r="C59" i="5"/>
  <c r="F59" i="5" s="1"/>
  <c r="F58" i="5"/>
  <c r="D58" i="5"/>
  <c r="G58" i="5" s="1"/>
  <c r="C58" i="5"/>
  <c r="F57" i="5"/>
  <c r="D57" i="5"/>
  <c r="G57" i="5" s="1"/>
  <c r="C57" i="5"/>
  <c r="F56" i="5"/>
  <c r="D56" i="5"/>
  <c r="G56" i="5" s="1"/>
  <c r="C56" i="5"/>
  <c r="D55" i="5"/>
  <c r="G55" i="5" s="1"/>
  <c r="C55" i="5"/>
  <c r="F55" i="5" s="1"/>
  <c r="F54" i="5"/>
  <c r="D54" i="5"/>
  <c r="G54" i="5" s="1"/>
  <c r="C54" i="5"/>
  <c r="F53" i="5"/>
  <c r="D53" i="5"/>
  <c r="G53" i="5" s="1"/>
  <c r="C53" i="5"/>
  <c r="F52" i="5"/>
  <c r="D52" i="5"/>
  <c r="G52" i="5" s="1"/>
  <c r="C52" i="5"/>
  <c r="D51" i="5"/>
  <c r="G51" i="5" s="1"/>
  <c r="C51" i="5"/>
  <c r="F51" i="5" s="1"/>
  <c r="F50" i="5"/>
  <c r="D50" i="5"/>
  <c r="G50" i="5" s="1"/>
  <c r="C50" i="5"/>
  <c r="F49" i="5"/>
  <c r="D49" i="5"/>
  <c r="G49" i="5" s="1"/>
  <c r="C49" i="5"/>
  <c r="F48" i="5"/>
  <c r="D48" i="5"/>
  <c r="G48" i="5" s="1"/>
  <c r="C48" i="5"/>
  <c r="D47" i="5"/>
  <c r="G47" i="5" s="1"/>
  <c r="C47" i="5"/>
  <c r="F47" i="5" s="1"/>
  <c r="F46" i="5"/>
  <c r="D46" i="5"/>
  <c r="G46" i="5" s="1"/>
  <c r="C46" i="5"/>
  <c r="F45" i="5"/>
  <c r="D45" i="5"/>
  <c r="E45" i="5" s="1"/>
  <c r="C45" i="5"/>
  <c r="F44" i="5"/>
  <c r="D44" i="5"/>
  <c r="G44" i="5" s="1"/>
  <c r="C44" i="5"/>
  <c r="D43" i="5"/>
  <c r="G43" i="5" s="1"/>
  <c r="C43" i="5"/>
  <c r="F43" i="5" s="1"/>
  <c r="F42" i="5"/>
  <c r="D42" i="5"/>
  <c r="G42" i="5" s="1"/>
  <c r="C42" i="5"/>
  <c r="F41" i="5"/>
  <c r="D41" i="5"/>
  <c r="G41" i="5" s="1"/>
  <c r="C41" i="5"/>
  <c r="F40" i="5"/>
  <c r="D40" i="5"/>
  <c r="G40" i="5" s="1"/>
  <c r="C40" i="5"/>
  <c r="D39" i="5"/>
  <c r="G39" i="5" s="1"/>
  <c r="C39" i="5"/>
  <c r="F39" i="5" s="1"/>
  <c r="F38" i="5"/>
  <c r="D38" i="5"/>
  <c r="G38" i="5" s="1"/>
  <c r="C38" i="5"/>
  <c r="F37" i="5"/>
  <c r="D37" i="5"/>
  <c r="G37" i="5" s="1"/>
  <c r="C37" i="5"/>
  <c r="F36" i="5"/>
  <c r="D36" i="5"/>
  <c r="G36" i="5" s="1"/>
  <c r="C36" i="5"/>
  <c r="D35" i="5"/>
  <c r="G35" i="5" s="1"/>
  <c r="C35" i="5"/>
  <c r="F35" i="5" s="1"/>
  <c r="F34" i="5"/>
  <c r="D34" i="5"/>
  <c r="G34" i="5" s="1"/>
  <c r="C34" i="5"/>
  <c r="F33" i="5"/>
  <c r="D33" i="5"/>
  <c r="G33" i="5" s="1"/>
  <c r="C33" i="5"/>
  <c r="F32" i="5"/>
  <c r="D32" i="5"/>
  <c r="G32" i="5" s="1"/>
  <c r="C32" i="5"/>
  <c r="D31" i="5"/>
  <c r="G31" i="5" s="1"/>
  <c r="C31" i="5"/>
  <c r="F31" i="5" s="1"/>
  <c r="F30" i="5"/>
  <c r="D30" i="5"/>
  <c r="G30" i="5" s="1"/>
  <c r="C30" i="5"/>
  <c r="F29" i="5"/>
  <c r="D29" i="5"/>
  <c r="E29" i="5" s="1"/>
  <c r="C29" i="5"/>
  <c r="F28" i="5"/>
  <c r="D28" i="5"/>
  <c r="G28" i="5" s="1"/>
  <c r="C28" i="5"/>
  <c r="E28" i="5" s="1"/>
  <c r="D27" i="5"/>
  <c r="G27" i="5" s="1"/>
  <c r="C27" i="5"/>
  <c r="F27" i="5" s="1"/>
  <c r="F26" i="5"/>
  <c r="D26" i="5"/>
  <c r="G26" i="5" s="1"/>
  <c r="C26" i="5"/>
  <c r="F25" i="5"/>
  <c r="D25" i="5"/>
  <c r="G25" i="5" s="1"/>
  <c r="C25" i="5"/>
  <c r="F24" i="5"/>
  <c r="D24" i="5"/>
  <c r="G24" i="5" s="1"/>
  <c r="C24" i="5"/>
  <c r="D23" i="5"/>
  <c r="G23" i="5" s="1"/>
  <c r="C23" i="5"/>
  <c r="F23" i="5" s="1"/>
  <c r="F22" i="5"/>
  <c r="D22" i="5"/>
  <c r="G22" i="5" s="1"/>
  <c r="C22" i="5"/>
  <c r="F21" i="5"/>
  <c r="D21" i="5"/>
  <c r="G21" i="5" s="1"/>
  <c r="C21" i="5"/>
  <c r="F20" i="5"/>
  <c r="D20" i="5"/>
  <c r="G20" i="5" s="1"/>
  <c r="C20" i="5"/>
  <c r="D19" i="5"/>
  <c r="G19" i="5" s="1"/>
  <c r="C19" i="5"/>
  <c r="F19" i="5" s="1"/>
  <c r="F18" i="5"/>
  <c r="D18" i="5"/>
  <c r="G18" i="5" s="1"/>
  <c r="C18" i="5"/>
  <c r="F17" i="5"/>
  <c r="D17" i="5"/>
  <c r="G17" i="5" s="1"/>
  <c r="C17" i="5"/>
  <c r="F16" i="5"/>
  <c r="D16" i="5"/>
  <c r="G16" i="5" s="1"/>
  <c r="C16" i="5"/>
  <c r="D15" i="5"/>
  <c r="G15" i="5" s="1"/>
  <c r="C15" i="5"/>
  <c r="F15" i="5" s="1"/>
  <c r="F14" i="5"/>
  <c r="D14" i="5"/>
  <c r="G14" i="5" s="1"/>
  <c r="C14" i="5"/>
  <c r="F13" i="5"/>
  <c r="D13" i="5"/>
  <c r="E13" i="5" s="1"/>
  <c r="C13" i="5"/>
  <c r="F12" i="5"/>
  <c r="D12" i="5"/>
  <c r="G12" i="5" s="1"/>
  <c r="C12" i="5"/>
  <c r="D11" i="5"/>
  <c r="G11" i="5" s="1"/>
  <c r="C11" i="5"/>
  <c r="F11" i="5" s="1"/>
  <c r="F10" i="5"/>
  <c r="D10" i="5"/>
  <c r="G10" i="5" s="1"/>
  <c r="C10" i="5"/>
  <c r="F9" i="5"/>
  <c r="D9" i="5"/>
  <c r="G9" i="5" s="1"/>
  <c r="C9" i="5"/>
  <c r="F8" i="5"/>
  <c r="D8" i="5"/>
  <c r="G8" i="5" s="1"/>
  <c r="C8" i="5"/>
  <c r="D7" i="5"/>
  <c r="G7" i="5" s="1"/>
  <c r="C7" i="5"/>
  <c r="F7" i="5" s="1"/>
  <c r="F6" i="5"/>
  <c r="D6" i="5"/>
  <c r="G6" i="5" s="1"/>
  <c r="C6" i="5"/>
  <c r="F5" i="5"/>
  <c r="D5" i="5"/>
  <c r="G5" i="5" s="1"/>
  <c r="C5" i="5"/>
  <c r="F4" i="5"/>
  <c r="D4" i="5"/>
  <c r="G4" i="5" s="1"/>
  <c r="C4" i="5"/>
  <c r="D3" i="5"/>
  <c r="G3" i="5" s="1"/>
  <c r="C3" i="5"/>
  <c r="F3" i="5" s="1"/>
  <c r="F2" i="5"/>
  <c r="F73" i="5" s="1"/>
  <c r="D2" i="5"/>
  <c r="G2" i="5" s="1"/>
  <c r="C2" i="5"/>
  <c r="A80" i="4"/>
  <c r="A73" i="4"/>
  <c r="B73" i="4"/>
  <c r="F8" i="4"/>
  <c r="C65" i="4"/>
  <c r="F65" i="4" s="1"/>
  <c r="C64" i="4"/>
  <c r="F64" i="4" s="1"/>
  <c r="C61" i="4"/>
  <c r="C57" i="4"/>
  <c r="F57" i="4" s="1"/>
  <c r="C56" i="4"/>
  <c r="F56" i="4" s="1"/>
  <c r="C53" i="4"/>
  <c r="C49" i="4"/>
  <c r="F49" i="4" s="1"/>
  <c r="C48" i="4"/>
  <c r="F48" i="4" s="1"/>
  <c r="C45" i="4"/>
  <c r="C41" i="4"/>
  <c r="F41" i="4" s="1"/>
  <c r="C40" i="4"/>
  <c r="F40" i="4" s="1"/>
  <c r="C37" i="4"/>
  <c r="C33" i="4"/>
  <c r="F33" i="4" s="1"/>
  <c r="C32" i="4"/>
  <c r="F32" i="4" s="1"/>
  <c r="C29" i="4"/>
  <c r="C25" i="4"/>
  <c r="F25" i="4" s="1"/>
  <c r="C24" i="4"/>
  <c r="F24" i="4" s="1"/>
  <c r="C21" i="4"/>
  <c r="C17" i="4"/>
  <c r="F17" i="4" s="1"/>
  <c r="C16" i="4"/>
  <c r="F16" i="4" s="1"/>
  <c r="C13" i="4"/>
  <c r="C9" i="4"/>
  <c r="F9" i="4" s="1"/>
  <c r="C8" i="4"/>
  <c r="C5" i="4"/>
  <c r="B77" i="4"/>
  <c r="D69" i="4" s="1"/>
  <c r="G69" i="4" s="1"/>
  <c r="A77" i="4"/>
  <c r="C72" i="4" s="1"/>
  <c r="F72" i="4" s="1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D10" i="6" l="1"/>
  <c r="G10" i="6" s="1"/>
  <c r="D17" i="6"/>
  <c r="G17" i="6" s="1"/>
  <c r="D24" i="6"/>
  <c r="G24" i="6" s="1"/>
  <c r="D31" i="6"/>
  <c r="G31" i="6" s="1"/>
  <c r="D40" i="6"/>
  <c r="G40" i="6" s="1"/>
  <c r="D50" i="6"/>
  <c r="G50" i="6" s="1"/>
  <c r="D63" i="6"/>
  <c r="G63" i="6" s="1"/>
  <c r="D6" i="6"/>
  <c r="G6" i="6" s="1"/>
  <c r="D11" i="6"/>
  <c r="G11" i="6" s="1"/>
  <c r="D22" i="6"/>
  <c r="G22" i="6" s="1"/>
  <c r="D27" i="6"/>
  <c r="G27" i="6" s="1"/>
  <c r="D36" i="6"/>
  <c r="G36" i="6" s="1"/>
  <c r="D44" i="6"/>
  <c r="G44" i="6" s="1"/>
  <c r="D51" i="6"/>
  <c r="G51" i="6" s="1"/>
  <c r="D60" i="6"/>
  <c r="G60" i="6" s="1"/>
  <c r="D67" i="6"/>
  <c r="G67" i="6" s="1"/>
  <c r="D7" i="6"/>
  <c r="G7" i="6" s="1"/>
  <c r="D9" i="6"/>
  <c r="G9" i="6" s="1"/>
  <c r="D16" i="6"/>
  <c r="G16" i="6" s="1"/>
  <c r="D18" i="6"/>
  <c r="G18" i="6" s="1"/>
  <c r="D23" i="6"/>
  <c r="G23" i="6" s="1"/>
  <c r="D25" i="6"/>
  <c r="G25" i="6" s="1"/>
  <c r="D32" i="6"/>
  <c r="G32" i="6" s="1"/>
  <c r="D34" i="6"/>
  <c r="G34" i="6" s="1"/>
  <c r="D39" i="6"/>
  <c r="G39" i="6" s="1"/>
  <c r="D42" i="6"/>
  <c r="G42" i="6" s="1"/>
  <c r="D48" i="6"/>
  <c r="G48" i="6" s="1"/>
  <c r="D55" i="6"/>
  <c r="G55" i="6" s="1"/>
  <c r="D58" i="6"/>
  <c r="G58" i="6" s="1"/>
  <c r="D64" i="6"/>
  <c r="G64" i="6" s="1"/>
  <c r="D71" i="6"/>
  <c r="G71" i="6" s="1"/>
  <c r="D8" i="6"/>
  <c r="G8" i="6" s="1"/>
  <c r="D15" i="6"/>
  <c r="G15" i="6" s="1"/>
  <c r="D26" i="6"/>
  <c r="G26" i="6" s="1"/>
  <c r="D33" i="6"/>
  <c r="G33" i="6" s="1"/>
  <c r="D47" i="6"/>
  <c r="G47" i="6" s="1"/>
  <c r="D56" i="6"/>
  <c r="G56" i="6" s="1"/>
  <c r="D66" i="6"/>
  <c r="G66" i="6" s="1"/>
  <c r="D2" i="6"/>
  <c r="G2" i="6" s="1"/>
  <c r="D4" i="6"/>
  <c r="G4" i="6" s="1"/>
  <c r="D13" i="6"/>
  <c r="G13" i="6" s="1"/>
  <c r="D20" i="6"/>
  <c r="G20" i="6" s="1"/>
  <c r="D29" i="6"/>
  <c r="G29" i="6" s="1"/>
  <c r="D38" i="6"/>
  <c r="G38" i="6" s="1"/>
  <c r="D54" i="6"/>
  <c r="G54" i="6" s="1"/>
  <c r="D70" i="6"/>
  <c r="G70" i="6" s="1"/>
  <c r="D3" i="6"/>
  <c r="G3" i="6" s="1"/>
  <c r="D5" i="6"/>
  <c r="G5" i="6" s="1"/>
  <c r="D12" i="6"/>
  <c r="G12" i="6" s="1"/>
  <c r="D14" i="6"/>
  <c r="G14" i="6" s="1"/>
  <c r="D19" i="6"/>
  <c r="G19" i="6" s="1"/>
  <c r="D21" i="6"/>
  <c r="G21" i="6" s="1"/>
  <c r="D28" i="6"/>
  <c r="G28" i="6" s="1"/>
  <c r="D30" i="6"/>
  <c r="G30" i="6" s="1"/>
  <c r="D35" i="6"/>
  <c r="G35" i="6" s="1"/>
  <c r="D37" i="6"/>
  <c r="G37" i="6" s="1"/>
  <c r="D43" i="6"/>
  <c r="G43" i="6" s="1"/>
  <c r="D46" i="6"/>
  <c r="G46" i="6" s="1"/>
  <c r="D52" i="6"/>
  <c r="G52" i="6" s="1"/>
  <c r="D59" i="6"/>
  <c r="G59" i="6" s="1"/>
  <c r="D62" i="6"/>
  <c r="G62" i="6" s="1"/>
  <c r="D68" i="6"/>
  <c r="G68" i="6" s="1"/>
  <c r="D72" i="6"/>
  <c r="G72" i="6" s="1"/>
  <c r="F20" i="6"/>
  <c r="F36" i="6"/>
  <c r="F60" i="6"/>
  <c r="F71" i="6"/>
  <c r="E71" i="6"/>
  <c r="F8" i="6"/>
  <c r="F24" i="6"/>
  <c r="E24" i="6"/>
  <c r="F40" i="6"/>
  <c r="E40" i="6"/>
  <c r="F56" i="6"/>
  <c r="E56" i="6"/>
  <c r="F16" i="6"/>
  <c r="F32" i="6"/>
  <c r="F48" i="6"/>
  <c r="F4" i="6"/>
  <c r="F44" i="6"/>
  <c r="E44" i="6"/>
  <c r="F12" i="6"/>
  <c r="E12" i="6"/>
  <c r="F28" i="6"/>
  <c r="E28" i="6"/>
  <c r="F52" i="6"/>
  <c r="E52" i="6"/>
  <c r="F64" i="6"/>
  <c r="C72" i="6"/>
  <c r="E3" i="6"/>
  <c r="C5" i="6"/>
  <c r="C9" i="6"/>
  <c r="C13" i="6"/>
  <c r="C17" i="6"/>
  <c r="C21" i="6"/>
  <c r="C25" i="6"/>
  <c r="C29" i="6"/>
  <c r="C33" i="6"/>
  <c r="C37" i="6"/>
  <c r="C41" i="6"/>
  <c r="C45" i="6"/>
  <c r="C49" i="6"/>
  <c r="C53" i="6"/>
  <c r="C57" i="6"/>
  <c r="C61" i="6"/>
  <c r="C65" i="6"/>
  <c r="C69" i="6"/>
  <c r="C2" i="6"/>
  <c r="C6" i="6"/>
  <c r="C10" i="6"/>
  <c r="C14" i="6"/>
  <c r="C18" i="6"/>
  <c r="C22" i="6"/>
  <c r="C26" i="6"/>
  <c r="C30" i="6"/>
  <c r="C34" i="6"/>
  <c r="C38" i="6"/>
  <c r="D41" i="6"/>
  <c r="G41" i="6" s="1"/>
  <c r="C42" i="6"/>
  <c r="D45" i="6"/>
  <c r="G45" i="6" s="1"/>
  <c r="C46" i="6"/>
  <c r="D49" i="6"/>
  <c r="G49" i="6" s="1"/>
  <c r="C50" i="6"/>
  <c r="D53" i="6"/>
  <c r="G53" i="6" s="1"/>
  <c r="C54" i="6"/>
  <c r="D57" i="6"/>
  <c r="G57" i="6" s="1"/>
  <c r="C58" i="6"/>
  <c r="D61" i="6"/>
  <c r="G61" i="6" s="1"/>
  <c r="C62" i="6"/>
  <c r="D65" i="6"/>
  <c r="G65" i="6" s="1"/>
  <c r="C66" i="6"/>
  <c r="C70" i="6"/>
  <c r="C7" i="6"/>
  <c r="C11" i="6"/>
  <c r="C15" i="6"/>
  <c r="C19" i="6"/>
  <c r="C23" i="6"/>
  <c r="C27" i="6"/>
  <c r="C31" i="6"/>
  <c r="C35" i="6"/>
  <c r="C39" i="6"/>
  <c r="C43" i="6"/>
  <c r="C47" i="6"/>
  <c r="C51" i="6"/>
  <c r="C55" i="6"/>
  <c r="C59" i="6"/>
  <c r="C63" i="6"/>
  <c r="C67" i="6"/>
  <c r="E9" i="5"/>
  <c r="G13" i="5"/>
  <c r="E25" i="5"/>
  <c r="G29" i="5"/>
  <c r="G73" i="5" s="1"/>
  <c r="E41" i="5"/>
  <c r="G45" i="5"/>
  <c r="E57" i="5"/>
  <c r="G61" i="5"/>
  <c r="E12" i="5"/>
  <c r="E44" i="5"/>
  <c r="E5" i="5"/>
  <c r="E8" i="5"/>
  <c r="E21" i="5"/>
  <c r="E24" i="5"/>
  <c r="E37" i="5"/>
  <c r="E40" i="5"/>
  <c r="E53" i="5"/>
  <c r="E56" i="5"/>
  <c r="E69" i="5"/>
  <c r="E72" i="5"/>
  <c r="E17" i="5"/>
  <c r="E33" i="5"/>
  <c r="E49" i="5"/>
  <c r="E65" i="5"/>
  <c r="E4" i="5"/>
  <c r="E20" i="5"/>
  <c r="E36" i="5"/>
  <c r="E52" i="5"/>
  <c r="E68" i="5"/>
  <c r="E16" i="5"/>
  <c r="E32" i="5"/>
  <c r="E48" i="5"/>
  <c r="E64" i="5"/>
  <c r="C73" i="5"/>
  <c r="E2" i="5"/>
  <c r="E18" i="5"/>
  <c r="E38" i="5"/>
  <c r="E46" i="5"/>
  <c r="E50" i="5"/>
  <c r="E54" i="5"/>
  <c r="E58" i="5"/>
  <c r="E62" i="5"/>
  <c r="E66" i="5"/>
  <c r="E70" i="5"/>
  <c r="D73" i="5"/>
  <c r="E6" i="5"/>
  <c r="E10" i="5"/>
  <c r="E14" i="5"/>
  <c r="E22" i="5"/>
  <c r="E26" i="5"/>
  <c r="E34" i="5"/>
  <c r="E3" i="5"/>
  <c r="E7" i="5"/>
  <c r="E11" i="5"/>
  <c r="E15" i="5"/>
  <c r="E19" i="5"/>
  <c r="E23" i="5"/>
  <c r="E27" i="5"/>
  <c r="E31" i="5"/>
  <c r="E35" i="5"/>
  <c r="E39" i="5"/>
  <c r="E43" i="5"/>
  <c r="E47" i="5"/>
  <c r="E51" i="5"/>
  <c r="E55" i="5"/>
  <c r="E59" i="5"/>
  <c r="E63" i="5"/>
  <c r="E67" i="5"/>
  <c r="E71" i="5"/>
  <c r="E30" i="5"/>
  <c r="E42" i="5"/>
  <c r="D2" i="4"/>
  <c r="D6" i="4"/>
  <c r="G6" i="4" s="1"/>
  <c r="D10" i="4"/>
  <c r="G10" i="4" s="1"/>
  <c r="D14" i="4"/>
  <c r="G14" i="4" s="1"/>
  <c r="D18" i="4"/>
  <c r="G18" i="4" s="1"/>
  <c r="D22" i="4"/>
  <c r="G22" i="4" s="1"/>
  <c r="D26" i="4"/>
  <c r="G26" i="4" s="1"/>
  <c r="D30" i="4"/>
  <c r="G30" i="4" s="1"/>
  <c r="D34" i="4"/>
  <c r="G34" i="4" s="1"/>
  <c r="D38" i="4"/>
  <c r="G38" i="4" s="1"/>
  <c r="D42" i="4"/>
  <c r="G42" i="4" s="1"/>
  <c r="D46" i="4"/>
  <c r="G46" i="4" s="1"/>
  <c r="D50" i="4"/>
  <c r="G50" i="4" s="1"/>
  <c r="D54" i="4"/>
  <c r="G54" i="4" s="1"/>
  <c r="D58" i="4"/>
  <c r="G58" i="4" s="1"/>
  <c r="D62" i="4"/>
  <c r="G62" i="4" s="1"/>
  <c r="D66" i="4"/>
  <c r="G66" i="4" s="1"/>
  <c r="D70" i="4"/>
  <c r="G70" i="4" s="1"/>
  <c r="D3" i="4"/>
  <c r="G3" i="4" s="1"/>
  <c r="D7" i="4"/>
  <c r="G7" i="4" s="1"/>
  <c r="D11" i="4"/>
  <c r="G11" i="4" s="1"/>
  <c r="D15" i="4"/>
  <c r="G15" i="4" s="1"/>
  <c r="D19" i="4"/>
  <c r="G19" i="4" s="1"/>
  <c r="D23" i="4"/>
  <c r="G23" i="4" s="1"/>
  <c r="D27" i="4"/>
  <c r="G27" i="4" s="1"/>
  <c r="D31" i="4"/>
  <c r="G31" i="4" s="1"/>
  <c r="D35" i="4"/>
  <c r="G35" i="4" s="1"/>
  <c r="D39" i="4"/>
  <c r="G39" i="4" s="1"/>
  <c r="D43" i="4"/>
  <c r="G43" i="4" s="1"/>
  <c r="D47" i="4"/>
  <c r="G47" i="4" s="1"/>
  <c r="D51" i="4"/>
  <c r="G51" i="4" s="1"/>
  <c r="D55" i="4"/>
  <c r="G55" i="4" s="1"/>
  <c r="D59" i="4"/>
  <c r="G59" i="4" s="1"/>
  <c r="D63" i="4"/>
  <c r="G63" i="4" s="1"/>
  <c r="D67" i="4"/>
  <c r="G67" i="4" s="1"/>
  <c r="D71" i="4"/>
  <c r="G71" i="4" s="1"/>
  <c r="F5" i="4"/>
  <c r="F13" i="4"/>
  <c r="F21" i="4"/>
  <c r="F29" i="4"/>
  <c r="F37" i="4"/>
  <c r="F45" i="4"/>
  <c r="F53" i="4"/>
  <c r="F61" i="4"/>
  <c r="D4" i="4"/>
  <c r="G4" i="4" s="1"/>
  <c r="D8" i="4"/>
  <c r="G8" i="4" s="1"/>
  <c r="D12" i="4"/>
  <c r="G12" i="4" s="1"/>
  <c r="D16" i="4"/>
  <c r="G16" i="4" s="1"/>
  <c r="D20" i="4"/>
  <c r="G20" i="4" s="1"/>
  <c r="D24" i="4"/>
  <c r="G24" i="4" s="1"/>
  <c r="D28" i="4"/>
  <c r="G28" i="4" s="1"/>
  <c r="D32" i="4"/>
  <c r="G32" i="4" s="1"/>
  <c r="D36" i="4"/>
  <c r="G36" i="4" s="1"/>
  <c r="D40" i="4"/>
  <c r="G40" i="4" s="1"/>
  <c r="D44" i="4"/>
  <c r="G44" i="4" s="1"/>
  <c r="D48" i="4"/>
  <c r="G48" i="4" s="1"/>
  <c r="D52" i="4"/>
  <c r="G52" i="4" s="1"/>
  <c r="D56" i="4"/>
  <c r="G56" i="4" s="1"/>
  <c r="D60" i="4"/>
  <c r="G60" i="4" s="1"/>
  <c r="D64" i="4"/>
  <c r="G64" i="4" s="1"/>
  <c r="D68" i="4"/>
  <c r="G68" i="4" s="1"/>
  <c r="D72" i="4"/>
  <c r="C4" i="4"/>
  <c r="C12" i="4"/>
  <c r="C20" i="4"/>
  <c r="C28" i="4"/>
  <c r="C36" i="4"/>
  <c r="C44" i="4"/>
  <c r="C52" i="4"/>
  <c r="C60" i="4"/>
  <c r="C68" i="4"/>
  <c r="D5" i="4"/>
  <c r="G5" i="4" s="1"/>
  <c r="D9" i="4"/>
  <c r="G9" i="4" s="1"/>
  <c r="D13" i="4"/>
  <c r="G13" i="4" s="1"/>
  <c r="D17" i="4"/>
  <c r="G17" i="4" s="1"/>
  <c r="D21" i="4"/>
  <c r="G21" i="4" s="1"/>
  <c r="D25" i="4"/>
  <c r="G25" i="4" s="1"/>
  <c r="D29" i="4"/>
  <c r="G29" i="4" s="1"/>
  <c r="D33" i="4"/>
  <c r="G33" i="4" s="1"/>
  <c r="D37" i="4"/>
  <c r="G37" i="4" s="1"/>
  <c r="D41" i="4"/>
  <c r="G41" i="4" s="1"/>
  <c r="D45" i="4"/>
  <c r="G45" i="4" s="1"/>
  <c r="D49" i="4"/>
  <c r="G49" i="4" s="1"/>
  <c r="D53" i="4"/>
  <c r="G53" i="4" s="1"/>
  <c r="D57" i="4"/>
  <c r="G57" i="4" s="1"/>
  <c r="D61" i="4"/>
  <c r="G61" i="4" s="1"/>
  <c r="D65" i="4"/>
  <c r="G65" i="4" s="1"/>
  <c r="C69" i="4"/>
  <c r="C2" i="4"/>
  <c r="C6" i="4"/>
  <c r="C10" i="4"/>
  <c r="C14" i="4"/>
  <c r="C18" i="4"/>
  <c r="C22" i="4"/>
  <c r="C26" i="4"/>
  <c r="C30" i="4"/>
  <c r="C34" i="4"/>
  <c r="C38" i="4"/>
  <c r="C42" i="4"/>
  <c r="C46" i="4"/>
  <c r="C50" i="4"/>
  <c r="C54" i="4"/>
  <c r="C58" i="4"/>
  <c r="C62" i="4"/>
  <c r="C66" i="4"/>
  <c r="C70" i="4"/>
  <c r="C3" i="4"/>
  <c r="C7" i="4"/>
  <c r="C11" i="4"/>
  <c r="C15" i="4"/>
  <c r="C19" i="4"/>
  <c r="C23" i="4"/>
  <c r="C27" i="4"/>
  <c r="C31" i="4"/>
  <c r="C35" i="4"/>
  <c r="C39" i="4"/>
  <c r="C43" i="4"/>
  <c r="C47" i="4"/>
  <c r="C51" i="4"/>
  <c r="C55" i="4"/>
  <c r="C59" i="4"/>
  <c r="C63" i="4"/>
  <c r="C67" i="4"/>
  <c r="C71" i="4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E68" i="6" l="1"/>
  <c r="E64" i="6"/>
  <c r="E32" i="6"/>
  <c r="E4" i="6"/>
  <c r="E36" i="6"/>
  <c r="G73" i="6"/>
  <c r="E48" i="6"/>
  <c r="E16" i="6"/>
  <c r="E8" i="6"/>
  <c r="E60" i="6"/>
  <c r="E20" i="6"/>
  <c r="F47" i="6"/>
  <c r="E47" i="6"/>
  <c r="F15" i="6"/>
  <c r="E15" i="6"/>
  <c r="C73" i="6"/>
  <c r="F2" i="6"/>
  <c r="E2" i="6"/>
  <c r="E9" i="6"/>
  <c r="F9" i="6"/>
  <c r="F72" i="6"/>
  <c r="E72" i="6"/>
  <c r="F59" i="6"/>
  <c r="E59" i="6"/>
  <c r="F27" i="6"/>
  <c r="E27" i="6"/>
  <c r="F66" i="6"/>
  <c r="E66" i="6"/>
  <c r="F50" i="6"/>
  <c r="E50" i="6"/>
  <c r="F30" i="6"/>
  <c r="E30" i="6"/>
  <c r="E69" i="6"/>
  <c r="F69" i="6"/>
  <c r="E21" i="6"/>
  <c r="F21" i="6"/>
  <c r="F55" i="6"/>
  <c r="E55" i="6"/>
  <c r="F39" i="6"/>
  <c r="E39" i="6"/>
  <c r="F23" i="6"/>
  <c r="E23" i="6"/>
  <c r="F7" i="6"/>
  <c r="E7" i="6"/>
  <c r="F26" i="6"/>
  <c r="E26" i="6"/>
  <c r="F10" i="6"/>
  <c r="E10" i="6"/>
  <c r="E65" i="6"/>
  <c r="F65" i="6"/>
  <c r="E49" i="6"/>
  <c r="F49" i="6"/>
  <c r="E33" i="6"/>
  <c r="F33" i="6"/>
  <c r="E17" i="6"/>
  <c r="F17" i="6"/>
  <c r="F63" i="6"/>
  <c r="E63" i="6"/>
  <c r="F31" i="6"/>
  <c r="E31" i="6"/>
  <c r="F34" i="6"/>
  <c r="E34" i="6"/>
  <c r="F18" i="6"/>
  <c r="E18" i="6"/>
  <c r="E57" i="6"/>
  <c r="F57" i="6"/>
  <c r="E41" i="6"/>
  <c r="F41" i="6"/>
  <c r="E25" i="6"/>
  <c r="F25" i="6"/>
  <c r="F43" i="6"/>
  <c r="E43" i="6"/>
  <c r="F11" i="6"/>
  <c r="E11" i="6"/>
  <c r="F58" i="6"/>
  <c r="E58" i="6"/>
  <c r="F42" i="6"/>
  <c r="E42" i="6"/>
  <c r="F14" i="6"/>
  <c r="E14" i="6"/>
  <c r="E53" i="6"/>
  <c r="F53" i="6"/>
  <c r="E37" i="6"/>
  <c r="F37" i="6"/>
  <c r="E5" i="6"/>
  <c r="F5" i="6"/>
  <c r="F67" i="6"/>
  <c r="E67" i="6"/>
  <c r="F51" i="6"/>
  <c r="E51" i="6"/>
  <c r="F35" i="6"/>
  <c r="E35" i="6"/>
  <c r="F19" i="6"/>
  <c r="E19" i="6"/>
  <c r="E70" i="6"/>
  <c r="F70" i="6"/>
  <c r="F62" i="6"/>
  <c r="E62" i="6"/>
  <c r="F54" i="6"/>
  <c r="E54" i="6"/>
  <c r="F46" i="6"/>
  <c r="E46" i="6"/>
  <c r="F38" i="6"/>
  <c r="E38" i="6"/>
  <c r="F22" i="6"/>
  <c r="E22" i="6"/>
  <c r="F6" i="6"/>
  <c r="E6" i="6"/>
  <c r="E61" i="6"/>
  <c r="F61" i="6"/>
  <c r="E45" i="6"/>
  <c r="F45" i="6"/>
  <c r="E29" i="6"/>
  <c r="F29" i="6"/>
  <c r="E13" i="6"/>
  <c r="F13" i="6"/>
  <c r="D73" i="6"/>
  <c r="E73" i="5"/>
  <c r="A79" i="5" s="1"/>
  <c r="E61" i="4"/>
  <c r="E24" i="4"/>
  <c r="E13" i="4"/>
  <c r="E57" i="4"/>
  <c r="E17" i="4"/>
  <c r="E8" i="4"/>
  <c r="E41" i="4"/>
  <c r="F71" i="4"/>
  <c r="E71" i="4"/>
  <c r="F55" i="4"/>
  <c r="E55" i="4"/>
  <c r="F39" i="4"/>
  <c r="E39" i="4"/>
  <c r="F23" i="4"/>
  <c r="E23" i="4"/>
  <c r="F7" i="4"/>
  <c r="E7" i="4"/>
  <c r="E62" i="4"/>
  <c r="F62" i="4"/>
  <c r="E46" i="4"/>
  <c r="F46" i="4"/>
  <c r="E30" i="4"/>
  <c r="F30" i="4"/>
  <c r="E14" i="4"/>
  <c r="F14" i="4"/>
  <c r="E69" i="4"/>
  <c r="F69" i="4"/>
  <c r="E44" i="4"/>
  <c r="F44" i="4"/>
  <c r="E12" i="4"/>
  <c r="F12" i="4"/>
  <c r="E16" i="4"/>
  <c r="F67" i="4"/>
  <c r="E67" i="4"/>
  <c r="F51" i="4"/>
  <c r="E51" i="4"/>
  <c r="F35" i="4"/>
  <c r="E35" i="4"/>
  <c r="F19" i="4"/>
  <c r="E19" i="4"/>
  <c r="F3" i="4"/>
  <c r="E3" i="4"/>
  <c r="E58" i="4"/>
  <c r="F58" i="4"/>
  <c r="E42" i="4"/>
  <c r="F42" i="4"/>
  <c r="E26" i="4"/>
  <c r="F26" i="4"/>
  <c r="E10" i="4"/>
  <c r="F10" i="4"/>
  <c r="E68" i="4"/>
  <c r="F68" i="4"/>
  <c r="E36" i="4"/>
  <c r="F36" i="4"/>
  <c r="E4" i="4"/>
  <c r="F4" i="4"/>
  <c r="E49" i="4"/>
  <c r="E53" i="4"/>
  <c r="E48" i="4"/>
  <c r="E5" i="4"/>
  <c r="E64" i="4"/>
  <c r="F63" i="4"/>
  <c r="E63" i="4"/>
  <c r="F47" i="4"/>
  <c r="E47" i="4"/>
  <c r="F31" i="4"/>
  <c r="E31" i="4"/>
  <c r="F15" i="4"/>
  <c r="E15" i="4"/>
  <c r="E70" i="4"/>
  <c r="F70" i="4"/>
  <c r="E54" i="4"/>
  <c r="F54" i="4"/>
  <c r="E38" i="4"/>
  <c r="F38" i="4"/>
  <c r="E22" i="4"/>
  <c r="F22" i="4"/>
  <c r="E6" i="4"/>
  <c r="F6" i="4"/>
  <c r="E60" i="4"/>
  <c r="F60" i="4"/>
  <c r="E28" i="4"/>
  <c r="F28" i="4"/>
  <c r="G72" i="4"/>
  <c r="E72" i="4"/>
  <c r="E40" i="4"/>
  <c r="E56" i="4"/>
  <c r="E32" i="4"/>
  <c r="E37" i="4"/>
  <c r="E65" i="4"/>
  <c r="F59" i="4"/>
  <c r="E59" i="4"/>
  <c r="F43" i="4"/>
  <c r="E43" i="4"/>
  <c r="F27" i="4"/>
  <c r="E27" i="4"/>
  <c r="F11" i="4"/>
  <c r="E11" i="4"/>
  <c r="E66" i="4"/>
  <c r="F66" i="4"/>
  <c r="E50" i="4"/>
  <c r="F50" i="4"/>
  <c r="E34" i="4"/>
  <c r="F34" i="4"/>
  <c r="E18" i="4"/>
  <c r="F18" i="4"/>
  <c r="E2" i="4"/>
  <c r="F2" i="4"/>
  <c r="C73" i="4"/>
  <c r="E52" i="4"/>
  <c r="F52" i="4"/>
  <c r="E20" i="4"/>
  <c r="F20" i="4"/>
  <c r="D73" i="4"/>
  <c r="G2" i="4"/>
  <c r="E29" i="4"/>
  <c r="E33" i="4"/>
  <c r="E9" i="4"/>
  <c r="E25" i="4"/>
  <c r="E45" i="4"/>
  <c r="E21" i="4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4" i="1"/>
  <c r="A3" i="1"/>
  <c r="E73" i="6" l="1"/>
  <c r="F73" i="6"/>
  <c r="G73" i="4"/>
  <c r="E73" i="4"/>
  <c r="F73" i="4"/>
  <c r="A79" i="6" l="1"/>
  <c r="A79" i="4"/>
</calcChain>
</file>

<file path=xl/sharedStrings.xml><?xml version="1.0" encoding="utf-8"?>
<sst xmlns="http://schemas.openxmlformats.org/spreadsheetml/2006/main" count="69" uniqueCount="37">
  <si>
    <t>Month</t>
  </si>
  <si>
    <t>S.No</t>
  </si>
  <si>
    <t>GPR</t>
  </si>
  <si>
    <t>Gold</t>
  </si>
  <si>
    <t>Nifty</t>
  </si>
  <si>
    <t>INR/USD ExchangeRate</t>
  </si>
  <si>
    <t>Gold Price</t>
  </si>
  <si>
    <t>Nifty Price</t>
  </si>
  <si>
    <t>USDINR</t>
  </si>
  <si>
    <t>Line Graphs</t>
  </si>
  <si>
    <t>GPR-3MA</t>
  </si>
  <si>
    <t>Nifty-3MA</t>
  </si>
  <si>
    <t>Gold-3MA</t>
  </si>
  <si>
    <t>USDINR-3MA</t>
  </si>
  <si>
    <t>GPR-6MA</t>
  </si>
  <si>
    <t>Gold-6MA</t>
  </si>
  <si>
    <t>Nifty-6MA</t>
  </si>
  <si>
    <t>USDINR-6MA</t>
  </si>
  <si>
    <t>Mean</t>
  </si>
  <si>
    <t>Positive Correlation</t>
  </si>
  <si>
    <t>Manual Calculation</t>
  </si>
  <si>
    <t>Formula</t>
  </si>
  <si>
    <t>GPR Deviation</t>
  </si>
  <si>
    <t>Gold Deviation</t>
  </si>
  <si>
    <t>(GPR − Mean) × (Gold − Mean)</t>
  </si>
  <si>
    <t>Squared GPR Deviation</t>
  </si>
  <si>
    <t>Squared Gold Deviation</t>
  </si>
  <si>
    <t>Pearson Correlation Coefficient</t>
  </si>
  <si>
    <t>Correlation between GPR and Gold = 0.338 (Moderate Positive Correlation)</t>
  </si>
  <si>
    <t>Nifty Deviation</t>
  </si>
  <si>
    <t>(GPR − Mean) × (Nifty− Mean)</t>
  </si>
  <si>
    <t>Squared Nifty Deviation</t>
  </si>
  <si>
    <t>Correlation between GPR and Nifty = 0.482 (Moderate Positive Correlation)</t>
  </si>
  <si>
    <t>USDINR Deviation</t>
  </si>
  <si>
    <t>(GPR − Mean) × (USDINR − Mean)</t>
  </si>
  <si>
    <t>Squared USDINR Deviation</t>
  </si>
  <si>
    <t>Correlation between GPR and USDINR = 0.413 (Moderate Positive Correlation)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</si>
</sst>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" fontId="1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/>
    <xf numFmtId="2" fontId="1" fillId="0" borderId="0" xfId="0" applyNumberFormat="1" applyFont="1"/>
    <xf numFmtId="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LineGraph!$C$1</c:f>
              <c:strCache>
                <c:ptCount val="1"/>
                <c:pt idx="0">
                  <c:v>GPR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LineGraph!$B$2:$B$72</c:f>
              <c:numCache>
                <c:formatCode>mmm\-yy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LineGraph!$C$2:$C$72</c:f>
              <c:numCache>
                <c:formatCode>#,##0.00</c:formatCode>
                <c:ptCount val="71"/>
                <c:pt idx="0">
                  <c:v>138.42094421386719</c:v>
                </c:pt>
                <c:pt idx="1">
                  <c:v>75.955558776855469</c:v>
                </c:pt>
                <c:pt idx="2">
                  <c:v>81.540031433105497</c:v>
                </c:pt>
                <c:pt idx="3">
                  <c:v>69.339401245117188</c:v>
                </c:pt>
                <c:pt idx="4">
                  <c:v>68.507217407226563</c:v>
                </c:pt>
                <c:pt idx="5">
                  <c:v>71.227859497070313</c:v>
                </c:pt>
                <c:pt idx="6">
                  <c:v>66.473281860351563</c:v>
                </c:pt>
                <c:pt idx="7">
                  <c:v>65.466049194335938</c:v>
                </c:pt>
                <c:pt idx="8">
                  <c:v>80.37738037109375</c:v>
                </c:pt>
                <c:pt idx="9">
                  <c:v>76.083168029785156</c:v>
                </c:pt>
                <c:pt idx="10">
                  <c:v>70.067466735839844</c:v>
                </c:pt>
                <c:pt idx="11">
                  <c:v>64.067291259765625</c:v>
                </c:pt>
                <c:pt idx="12">
                  <c:v>77.418701171875</c:v>
                </c:pt>
                <c:pt idx="13">
                  <c:v>73.956802368164063</c:v>
                </c:pt>
                <c:pt idx="14">
                  <c:v>78.618766784667969</c:v>
                </c:pt>
                <c:pt idx="15">
                  <c:v>88.166221618652344</c:v>
                </c:pt>
                <c:pt idx="16">
                  <c:v>93.007133483886719</c:v>
                </c:pt>
                <c:pt idx="17">
                  <c:v>74.127120971679688</c:v>
                </c:pt>
                <c:pt idx="18">
                  <c:v>58.420768737792969</c:v>
                </c:pt>
                <c:pt idx="19">
                  <c:v>89.486549377441406</c:v>
                </c:pt>
                <c:pt idx="20">
                  <c:v>80.696968078613281</c:v>
                </c:pt>
                <c:pt idx="21">
                  <c:v>79.02923583984375</c:v>
                </c:pt>
                <c:pt idx="22">
                  <c:v>86.569145202636719</c:v>
                </c:pt>
                <c:pt idx="23">
                  <c:v>105.34542083740234</c:v>
                </c:pt>
                <c:pt idx="24">
                  <c:v>138.67498779296875</c:v>
                </c:pt>
                <c:pt idx="25">
                  <c:v>216.15901184082031</c:v>
                </c:pt>
                <c:pt idx="26">
                  <c:v>318.95492553710938</c:v>
                </c:pt>
                <c:pt idx="27">
                  <c:v>191.14309692382813</c:v>
                </c:pt>
                <c:pt idx="28">
                  <c:v>142.25848388671875</c:v>
                </c:pt>
                <c:pt idx="29">
                  <c:v>130.70732116699219</c:v>
                </c:pt>
                <c:pt idx="30">
                  <c:v>117.17676544189453</c:v>
                </c:pt>
                <c:pt idx="31">
                  <c:v>132.86322021484375</c:v>
                </c:pt>
                <c:pt idx="32">
                  <c:v>131.98587036132813</c:v>
                </c:pt>
                <c:pt idx="33">
                  <c:v>143.16241455078125</c:v>
                </c:pt>
                <c:pt idx="34">
                  <c:v>116.71628570556641</c:v>
                </c:pt>
                <c:pt idx="35">
                  <c:v>111.19593811035156</c:v>
                </c:pt>
                <c:pt idx="36">
                  <c:v>104.26704406738281</c:v>
                </c:pt>
                <c:pt idx="37">
                  <c:v>120.99437713623047</c:v>
                </c:pt>
                <c:pt idx="38">
                  <c:v>105.37997436523438</c:v>
                </c:pt>
                <c:pt idx="39">
                  <c:v>106.80965423583984</c:v>
                </c:pt>
                <c:pt idx="40">
                  <c:v>108.46768188476563</c:v>
                </c:pt>
                <c:pt idx="41">
                  <c:v>110.52894592285156</c:v>
                </c:pt>
                <c:pt idx="42">
                  <c:v>107.44878387451172</c:v>
                </c:pt>
                <c:pt idx="43">
                  <c:v>101.14118194580078</c:v>
                </c:pt>
                <c:pt idx="44">
                  <c:v>98.634811401367188</c:v>
                </c:pt>
                <c:pt idx="45">
                  <c:v>197.88700866699219</c:v>
                </c:pt>
                <c:pt idx="46">
                  <c:v>156.69613647460938</c:v>
                </c:pt>
                <c:pt idx="47">
                  <c:v>142.27946472167969</c:v>
                </c:pt>
                <c:pt idx="48">
                  <c:v>160.3736572265625</c:v>
                </c:pt>
                <c:pt idx="49">
                  <c:v>146.59817504882813</c:v>
                </c:pt>
                <c:pt idx="50">
                  <c:v>133.21316528320313</c:v>
                </c:pt>
                <c:pt idx="51">
                  <c:v>163.94734191894531</c:v>
                </c:pt>
                <c:pt idx="52">
                  <c:v>130.52186584472656</c:v>
                </c:pt>
                <c:pt idx="53">
                  <c:v>113.09279632568359</c:v>
                </c:pt>
                <c:pt idx="54">
                  <c:v>92.394874572753906</c:v>
                </c:pt>
                <c:pt idx="55">
                  <c:v>140.97506713867188</c:v>
                </c:pt>
                <c:pt idx="56">
                  <c:v>130.35877990722656</c:v>
                </c:pt>
                <c:pt idx="57">
                  <c:v>130.689208984375</c:v>
                </c:pt>
                <c:pt idx="58">
                  <c:v>128.90164184570313</c:v>
                </c:pt>
                <c:pt idx="59">
                  <c:v>142.36643981933594</c:v>
                </c:pt>
                <c:pt idx="60">
                  <c:v>112.33326721191406</c:v>
                </c:pt>
                <c:pt idx="61">
                  <c:v>136.42637634277344</c:v>
                </c:pt>
                <c:pt idx="62">
                  <c:v>175.44340515136719</c:v>
                </c:pt>
                <c:pt idx="63">
                  <c:v>139.71894836425781</c:v>
                </c:pt>
                <c:pt idx="64">
                  <c:v>165.81121826171875</c:v>
                </c:pt>
                <c:pt idx="65">
                  <c:v>222.19857788085938</c:v>
                </c:pt>
                <c:pt idx="66">
                  <c:v>134.79460144042969</c:v>
                </c:pt>
                <c:pt idx="67">
                  <c:v>136.74961853027344</c:v>
                </c:pt>
                <c:pt idx="68">
                  <c:v>124.10614776611328</c:v>
                </c:pt>
                <c:pt idx="69">
                  <c:v>154.43557739257813</c:v>
                </c:pt>
                <c:pt idx="70">
                  <c:v>99.912399291992188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F-43BB-9212-6E503311C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62671"/>
        <c:axId val="49164591"/>
      </c:lineChart>
      <c:dateAx>
        <c:axId val="491626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4591"/>
        <c:crosses val="autoZero"/>
        <c:auto val="1"/>
        <c:lblOffset val="100"/>
        <c:baseTimeUnit val="months"/>
      </c:dateAx>
      <c:valAx>
        <c:axId val="491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LineGraph!$D$1</c:f>
              <c:strCache>
                <c:ptCount val="1"/>
                <c:pt idx="0">
                  <c:v>Gold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LineGraph!$B$2:$B$72</c:f>
              <c:numCache>
                <c:formatCode>mmm\-yy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LineGraph!$D$2:$D$72</c:f>
              <c:numCache>
                <c:formatCode>0.00</c:formatCode>
                <c:ptCount val="71"/>
                <c:pt idx="0">
                  <c:v>39991.54017</c:v>
                </c:pt>
                <c:pt idx="1">
                  <c:v>41196.719270000001</c:v>
                </c:pt>
                <c:pt idx="2">
                  <c:v>41726.918879999997</c:v>
                </c:pt>
                <c:pt idx="3">
                  <c:v>40988.969429999997</c:v>
                </c:pt>
                <c:pt idx="4">
                  <c:v>40988.969429999997</c:v>
                </c:pt>
                <c:pt idx="5">
                  <c:v>46781.285109999997</c:v>
                </c:pt>
                <c:pt idx="6">
                  <c:v>49912.79277</c:v>
                </c:pt>
                <c:pt idx="7">
                  <c:v>53038.150439999998</c:v>
                </c:pt>
                <c:pt idx="8">
                  <c:v>50901.282030000002</c:v>
                </c:pt>
                <c:pt idx="9">
                  <c:v>50715.532169999999</c:v>
                </c:pt>
                <c:pt idx="10">
                  <c:v>50407.232400000001</c:v>
                </c:pt>
                <c:pt idx="11">
                  <c:v>49467.413099999998</c:v>
                </c:pt>
                <c:pt idx="12">
                  <c:v>49639.122969999997</c:v>
                </c:pt>
                <c:pt idx="13">
                  <c:v>47141.514840000003</c:v>
                </c:pt>
                <c:pt idx="14">
                  <c:v>44649.4467</c:v>
                </c:pt>
                <c:pt idx="15">
                  <c:v>46724.255149999997</c:v>
                </c:pt>
                <c:pt idx="16">
                  <c:v>47889.444280000003</c:v>
                </c:pt>
                <c:pt idx="17">
                  <c:v>47902.914270000001</c:v>
                </c:pt>
                <c:pt idx="18">
                  <c:v>47791.964350000002</c:v>
                </c:pt>
                <c:pt idx="19">
                  <c:v>47097.604870000003</c:v>
                </c:pt>
                <c:pt idx="20">
                  <c:v>46589.055249999998</c:v>
                </c:pt>
                <c:pt idx="21">
                  <c:v>47251.584759999998</c:v>
                </c:pt>
                <c:pt idx="22">
                  <c:v>48162.914080000002</c:v>
                </c:pt>
                <c:pt idx="23">
                  <c:v>47900.134270000002</c:v>
                </c:pt>
                <c:pt idx="24">
                  <c:v>47983.414210000003</c:v>
                </c:pt>
                <c:pt idx="25">
                  <c:v>49279.413240000002</c:v>
                </c:pt>
                <c:pt idx="26">
                  <c:v>51672.351459999998</c:v>
                </c:pt>
                <c:pt idx="27">
                  <c:v>52057.861169999996</c:v>
                </c:pt>
                <c:pt idx="28">
                  <c:v>50887.232040000003</c:v>
                </c:pt>
                <c:pt idx="29">
                  <c:v>50808.822099999998</c:v>
                </c:pt>
                <c:pt idx="30">
                  <c:v>50752.962140000003</c:v>
                </c:pt>
                <c:pt idx="31">
                  <c:v>51635.051489999998</c:v>
                </c:pt>
                <c:pt idx="32">
                  <c:v>49957.012739999998</c:v>
                </c:pt>
                <c:pt idx="33">
                  <c:v>50372.482429999996</c:v>
                </c:pt>
                <c:pt idx="34">
                  <c:v>51843.821329999999</c:v>
                </c:pt>
                <c:pt idx="35">
                  <c:v>53928.689769999997</c:v>
                </c:pt>
                <c:pt idx="36">
                  <c:v>56221.668060000004</c:v>
                </c:pt>
                <c:pt idx="37">
                  <c:v>56655.057739999997</c:v>
                </c:pt>
                <c:pt idx="38">
                  <c:v>57577.527049999997</c:v>
                </c:pt>
                <c:pt idx="39">
                  <c:v>60128.425150000003</c:v>
                </c:pt>
                <c:pt idx="40">
                  <c:v>60551.864829999999</c:v>
                </c:pt>
                <c:pt idx="41">
                  <c:v>59023.005969999998</c:v>
                </c:pt>
                <c:pt idx="42">
                  <c:v>58937.056040000003</c:v>
                </c:pt>
                <c:pt idx="43">
                  <c:v>58722.136200000001</c:v>
                </c:pt>
                <c:pt idx="44">
                  <c:v>58785.386149999998</c:v>
                </c:pt>
                <c:pt idx="45">
                  <c:v>58852.666100000002</c:v>
                </c:pt>
                <c:pt idx="46">
                  <c:v>60769.274669999999</c:v>
                </c:pt>
                <c:pt idx="47">
                  <c:v>62218.703589999997</c:v>
                </c:pt>
                <c:pt idx="48">
                  <c:v>62336.273500000003</c:v>
                </c:pt>
                <c:pt idx="49">
                  <c:v>62030.713730000003</c:v>
                </c:pt>
                <c:pt idx="50">
                  <c:v>65305.701289999997</c:v>
                </c:pt>
                <c:pt idx="51">
                  <c:v>71481.626680000001</c:v>
                </c:pt>
                <c:pt idx="52">
                  <c:v>72180.336160000006</c:v>
                </c:pt>
                <c:pt idx="53">
                  <c:v>71545.746629999994</c:v>
                </c:pt>
                <c:pt idx="54">
                  <c:v>71379.59676</c:v>
                </c:pt>
                <c:pt idx="55">
                  <c:v>70380.707500000004</c:v>
                </c:pt>
                <c:pt idx="56">
                  <c:v>72882.655639999997</c:v>
                </c:pt>
                <c:pt idx="57">
                  <c:v>76706.532779999994</c:v>
                </c:pt>
                <c:pt idx="58">
                  <c:v>76268.423110000003</c:v>
                </c:pt>
                <c:pt idx="59">
                  <c:v>76219.373149999999</c:v>
                </c:pt>
                <c:pt idx="60">
                  <c:v>78634.771349999995</c:v>
                </c:pt>
                <c:pt idx="61">
                  <c:v>85081.936539999995</c:v>
                </c:pt>
                <c:pt idx="62">
                  <c:v>86940.885150000002</c:v>
                </c:pt>
                <c:pt idx="63">
                  <c:v>92838.260750000001</c:v>
                </c:pt>
                <c:pt idx="64">
                  <c:v>94645.979399999997</c:v>
                </c:pt>
                <c:pt idx="65">
                  <c:v>97154.497529999993</c:v>
                </c:pt>
                <c:pt idx="66">
                  <c:v>97560.407229999997</c:v>
                </c:pt>
                <c:pt idx="67">
                  <c:v>99704.675629999998</c:v>
                </c:pt>
                <c:pt idx="68">
                  <c:v>109576.0583</c:v>
                </c:pt>
                <c:pt idx="69">
                  <c:v>122815.22840000001</c:v>
                </c:pt>
                <c:pt idx="70">
                  <c:v>122847.55839999999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C-4C73-B2FC-3EB808C8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850159"/>
        <c:axId val="165850639"/>
      </c:lineChart>
      <c:dateAx>
        <c:axId val="1658501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0639"/>
        <c:crosses val="autoZero"/>
        <c:auto val="1"/>
        <c:lblOffset val="100"/>
        <c:baseTimeUnit val="months"/>
      </c:dateAx>
      <c:valAx>
        <c:axId val="1658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LineGraph!$E$1</c:f>
              <c:strCache>
                <c:ptCount val="1"/>
                <c:pt idx="0">
                  <c:v>Nifty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LineGraph!$B$2:$B$72</c:f>
              <c:numCache>
                <c:formatCode>mmm\-yy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LineGraph!$E$2:$E$72</c:f>
              <c:numCache>
                <c:formatCode>0.00</c:formatCode>
                <c:ptCount val="71"/>
                <c:pt idx="0">
                  <c:v>11962.1</c:v>
                </c:pt>
                <c:pt idx="1">
                  <c:v>11201.75</c:v>
                </c:pt>
                <c:pt idx="2">
                  <c:v>8597.75</c:v>
                </c:pt>
                <c:pt idx="3">
                  <c:v>9859.9</c:v>
                </c:pt>
                <c:pt idx="4">
                  <c:v>9580.2999999999993</c:v>
                </c:pt>
                <c:pt idx="5">
                  <c:v>10302.1</c:v>
                </c:pt>
                <c:pt idx="6">
                  <c:v>11073.45</c:v>
                </c:pt>
                <c:pt idx="7">
                  <c:v>11387.5</c:v>
                </c:pt>
                <c:pt idx="8">
                  <c:v>11247.55</c:v>
                </c:pt>
                <c:pt idx="9">
                  <c:v>11642.4</c:v>
                </c:pt>
                <c:pt idx="10">
                  <c:v>12968.95</c:v>
                </c:pt>
                <c:pt idx="11">
                  <c:v>13981.75</c:v>
                </c:pt>
                <c:pt idx="12">
                  <c:v>13634.6</c:v>
                </c:pt>
                <c:pt idx="13">
                  <c:v>14529.15</c:v>
                </c:pt>
                <c:pt idx="14">
                  <c:v>14690.7</c:v>
                </c:pt>
                <c:pt idx="15">
                  <c:v>14631.1</c:v>
                </c:pt>
                <c:pt idx="16">
                  <c:v>15582.8</c:v>
                </c:pt>
                <c:pt idx="17">
                  <c:v>15721.5</c:v>
                </c:pt>
                <c:pt idx="18">
                  <c:v>15763.05</c:v>
                </c:pt>
                <c:pt idx="19">
                  <c:v>17132.2</c:v>
                </c:pt>
                <c:pt idx="20">
                  <c:v>17618.150000000001</c:v>
                </c:pt>
                <c:pt idx="21">
                  <c:v>17671.650000000001</c:v>
                </c:pt>
                <c:pt idx="22">
                  <c:v>16983.2</c:v>
                </c:pt>
                <c:pt idx="23">
                  <c:v>17354.05</c:v>
                </c:pt>
                <c:pt idx="24">
                  <c:v>17339.849999999999</c:v>
                </c:pt>
                <c:pt idx="25">
                  <c:v>16793.900000000001</c:v>
                </c:pt>
                <c:pt idx="26">
                  <c:v>17464.75</c:v>
                </c:pt>
                <c:pt idx="27">
                  <c:v>17102.55</c:v>
                </c:pt>
                <c:pt idx="28">
                  <c:v>16584.55</c:v>
                </c:pt>
                <c:pt idx="29">
                  <c:v>15780.25</c:v>
                </c:pt>
                <c:pt idx="30">
                  <c:v>17158.25</c:v>
                </c:pt>
                <c:pt idx="31">
                  <c:v>17759.3</c:v>
                </c:pt>
                <c:pt idx="32">
                  <c:v>17094.349999999999</c:v>
                </c:pt>
                <c:pt idx="33">
                  <c:v>18012.2</c:v>
                </c:pt>
                <c:pt idx="34">
                  <c:v>18758.349999999999</c:v>
                </c:pt>
                <c:pt idx="35">
                  <c:v>18105.3</c:v>
                </c:pt>
                <c:pt idx="36">
                  <c:v>17662.150000000001</c:v>
                </c:pt>
                <c:pt idx="37">
                  <c:v>17303.95</c:v>
                </c:pt>
                <c:pt idx="38">
                  <c:v>17359.75</c:v>
                </c:pt>
                <c:pt idx="39">
                  <c:v>18065</c:v>
                </c:pt>
                <c:pt idx="40">
                  <c:v>18534.400000000001</c:v>
                </c:pt>
                <c:pt idx="41">
                  <c:v>19189.05</c:v>
                </c:pt>
                <c:pt idx="42">
                  <c:v>19753.8</c:v>
                </c:pt>
                <c:pt idx="43">
                  <c:v>19253.8</c:v>
                </c:pt>
                <c:pt idx="44">
                  <c:v>19638.3</c:v>
                </c:pt>
                <c:pt idx="45">
                  <c:v>19079.599999999999</c:v>
                </c:pt>
                <c:pt idx="46">
                  <c:v>20133.150000000001</c:v>
                </c:pt>
                <c:pt idx="47">
                  <c:v>21731.4</c:v>
                </c:pt>
                <c:pt idx="48">
                  <c:v>21725.7</c:v>
                </c:pt>
                <c:pt idx="49">
                  <c:v>21982.799999999999</c:v>
                </c:pt>
                <c:pt idx="50">
                  <c:v>22326.9</c:v>
                </c:pt>
                <c:pt idx="51">
                  <c:v>22604.85</c:v>
                </c:pt>
                <c:pt idx="52">
                  <c:v>22530.7</c:v>
                </c:pt>
                <c:pt idx="53">
                  <c:v>24010.6</c:v>
                </c:pt>
                <c:pt idx="54">
                  <c:v>24951.15</c:v>
                </c:pt>
                <c:pt idx="55">
                  <c:v>25235.9</c:v>
                </c:pt>
                <c:pt idx="56">
                  <c:v>25810.85</c:v>
                </c:pt>
                <c:pt idx="57">
                  <c:v>24205.35</c:v>
                </c:pt>
                <c:pt idx="58">
                  <c:v>24131.1</c:v>
                </c:pt>
                <c:pt idx="59">
                  <c:v>23644.799999999999</c:v>
                </c:pt>
                <c:pt idx="60">
                  <c:v>23508.400000000001</c:v>
                </c:pt>
                <c:pt idx="61">
                  <c:v>22124.7</c:v>
                </c:pt>
                <c:pt idx="62">
                  <c:v>23519.35</c:v>
                </c:pt>
                <c:pt idx="63">
                  <c:v>24334.2</c:v>
                </c:pt>
                <c:pt idx="64">
                  <c:v>24750.7</c:v>
                </c:pt>
                <c:pt idx="65">
                  <c:v>25517.05</c:v>
                </c:pt>
                <c:pt idx="66">
                  <c:v>24768.35</c:v>
                </c:pt>
                <c:pt idx="67">
                  <c:v>24426.85</c:v>
                </c:pt>
                <c:pt idx="68">
                  <c:v>24611.1</c:v>
                </c:pt>
                <c:pt idx="69">
                  <c:v>25722.1</c:v>
                </c:pt>
                <c:pt idx="70">
                  <c:v>26202.95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2-4396-9631-E3EEDF8B0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290543"/>
        <c:axId val="50295887"/>
      </c:lineChart>
      <c:dateAx>
        <c:axId val="15782905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5887"/>
        <c:crosses val="autoZero"/>
        <c:auto val="1"/>
        <c:lblOffset val="100"/>
        <c:baseTimeUnit val="months"/>
      </c:dateAx>
      <c:valAx>
        <c:axId val="5029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2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LineGraph!$F$1</c:f>
              <c:strCache>
                <c:ptCount val="1"/>
                <c:pt idx="0">
                  <c:v>USDINR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LineGraph!$B$2:$B$72</c:f>
              <c:numCache>
                <c:formatCode>mmm\-yy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LineGraph!$F$2:$F$72</c:f>
              <c:numCache>
                <c:formatCode>0.00</c:formatCode>
                <c:ptCount val="71"/>
                <c:pt idx="0">
                  <c:v>71.540000000000006</c:v>
                </c:pt>
                <c:pt idx="1">
                  <c:v>72.534000000000006</c:v>
                </c:pt>
                <c:pt idx="2">
                  <c:v>75.332999999999998</c:v>
                </c:pt>
                <c:pt idx="3">
                  <c:v>75.076999999999998</c:v>
                </c:pt>
                <c:pt idx="4">
                  <c:v>75.59</c:v>
                </c:pt>
                <c:pt idx="5">
                  <c:v>75.540000000000006</c:v>
                </c:pt>
                <c:pt idx="6">
                  <c:v>74.915999999999997</c:v>
                </c:pt>
                <c:pt idx="7">
                  <c:v>73.254000000000005</c:v>
                </c:pt>
                <c:pt idx="8">
                  <c:v>73.56</c:v>
                </c:pt>
                <c:pt idx="9">
                  <c:v>74.554000000000002</c:v>
                </c:pt>
                <c:pt idx="10">
                  <c:v>73.989999999999995</c:v>
                </c:pt>
                <c:pt idx="11">
                  <c:v>73.036000000000001</c:v>
                </c:pt>
                <c:pt idx="12">
                  <c:v>72.876999999999995</c:v>
                </c:pt>
                <c:pt idx="13">
                  <c:v>73.92</c:v>
                </c:pt>
                <c:pt idx="14">
                  <c:v>73.137</c:v>
                </c:pt>
                <c:pt idx="15">
                  <c:v>74.05</c:v>
                </c:pt>
                <c:pt idx="16">
                  <c:v>72.510999999999996</c:v>
                </c:pt>
                <c:pt idx="17">
                  <c:v>74.36</c:v>
                </c:pt>
                <c:pt idx="18">
                  <c:v>74.337000000000003</c:v>
                </c:pt>
                <c:pt idx="19">
                  <c:v>72.947000000000003</c:v>
                </c:pt>
                <c:pt idx="20">
                  <c:v>74.164000000000001</c:v>
                </c:pt>
                <c:pt idx="21">
                  <c:v>74.915000000000006</c:v>
                </c:pt>
                <c:pt idx="22">
                  <c:v>75.09</c:v>
                </c:pt>
                <c:pt idx="23">
                  <c:v>74.466999999999999</c:v>
                </c:pt>
                <c:pt idx="24">
                  <c:v>74.528999999999996</c:v>
                </c:pt>
                <c:pt idx="25">
                  <c:v>75.492999999999995</c:v>
                </c:pt>
                <c:pt idx="26">
                  <c:v>75.900999999999996</c:v>
                </c:pt>
                <c:pt idx="27">
                  <c:v>76.52</c:v>
                </c:pt>
                <c:pt idx="28">
                  <c:v>77.569000000000003</c:v>
                </c:pt>
                <c:pt idx="29">
                  <c:v>78.95</c:v>
                </c:pt>
                <c:pt idx="30">
                  <c:v>79.335999999999999</c:v>
                </c:pt>
                <c:pt idx="31">
                  <c:v>79.491</c:v>
                </c:pt>
                <c:pt idx="32">
                  <c:v>81.509</c:v>
                </c:pt>
                <c:pt idx="33">
                  <c:v>82.77</c:v>
                </c:pt>
                <c:pt idx="34">
                  <c:v>81.358999999999995</c:v>
                </c:pt>
                <c:pt idx="35">
                  <c:v>82.716999999999999</c:v>
                </c:pt>
                <c:pt idx="36">
                  <c:v>81.739000000000004</c:v>
                </c:pt>
                <c:pt idx="37">
                  <c:v>82.64</c:v>
                </c:pt>
                <c:pt idx="38">
                  <c:v>82.16</c:v>
                </c:pt>
                <c:pt idx="39">
                  <c:v>81.72</c:v>
                </c:pt>
                <c:pt idx="40">
                  <c:v>82.68</c:v>
                </c:pt>
                <c:pt idx="41">
                  <c:v>82.090999999999994</c:v>
                </c:pt>
                <c:pt idx="42">
                  <c:v>82.24</c:v>
                </c:pt>
                <c:pt idx="43">
                  <c:v>82.701999999999998</c:v>
                </c:pt>
                <c:pt idx="44">
                  <c:v>83.03</c:v>
                </c:pt>
                <c:pt idx="45">
                  <c:v>83.256</c:v>
                </c:pt>
                <c:pt idx="46">
                  <c:v>83.356999999999999</c:v>
                </c:pt>
                <c:pt idx="47">
                  <c:v>83.19</c:v>
                </c:pt>
                <c:pt idx="48">
                  <c:v>83.094999999999999</c:v>
                </c:pt>
                <c:pt idx="49">
                  <c:v>82.9</c:v>
                </c:pt>
                <c:pt idx="50">
                  <c:v>83.35</c:v>
                </c:pt>
                <c:pt idx="51">
                  <c:v>83.45</c:v>
                </c:pt>
                <c:pt idx="52">
                  <c:v>83.424000000000007</c:v>
                </c:pt>
                <c:pt idx="53">
                  <c:v>83.355000000000004</c:v>
                </c:pt>
                <c:pt idx="54">
                  <c:v>83.698999999999998</c:v>
                </c:pt>
                <c:pt idx="55">
                  <c:v>83.867000000000004</c:v>
                </c:pt>
                <c:pt idx="56">
                  <c:v>83.754999999999995</c:v>
                </c:pt>
                <c:pt idx="57">
                  <c:v>84.061000000000007</c:v>
                </c:pt>
                <c:pt idx="58">
                  <c:v>84.558999999999997</c:v>
                </c:pt>
                <c:pt idx="59">
                  <c:v>85.554000000000002</c:v>
                </c:pt>
                <c:pt idx="60">
                  <c:v>86.561000000000007</c:v>
                </c:pt>
                <c:pt idx="61">
                  <c:v>87.471000000000004</c:v>
                </c:pt>
                <c:pt idx="62">
                  <c:v>85.46</c:v>
                </c:pt>
                <c:pt idx="63">
                  <c:v>84.599000000000004</c:v>
                </c:pt>
                <c:pt idx="64">
                  <c:v>85.525000000000006</c:v>
                </c:pt>
                <c:pt idx="65">
                  <c:v>85.7</c:v>
                </c:pt>
                <c:pt idx="66">
                  <c:v>87.524000000000001</c:v>
                </c:pt>
                <c:pt idx="67">
                  <c:v>88.174000000000007</c:v>
                </c:pt>
                <c:pt idx="68">
                  <c:v>88.840999999999994</c:v>
                </c:pt>
                <c:pt idx="69">
                  <c:v>88.769000000000005</c:v>
                </c:pt>
                <c:pt idx="70">
                  <c:v>89.356999999999999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5-458B-9F45-94D312402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547711"/>
        <c:axId val="1894545791"/>
      </c:lineChart>
      <c:dateAx>
        <c:axId val="18945477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45791"/>
        <c:crosses val="autoZero"/>
        <c:auto val="1"/>
        <c:lblOffset val="100"/>
        <c:baseTimeUnit val="months"/>
      </c:dateAx>
      <c:valAx>
        <c:axId val="189454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54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Geopolitical Risk Index (GPR): </a:t>
            </a:r>
          </a:p>
          <a:p>
            <a:pPr>
              <a:defRPr/>
            </a:pPr>
            <a:r>
              <a:rPr lang="en-IN" sz="1400" b="0" i="0" u="none" strike="noStrike" baseline="0"/>
              <a:t>Actual, 3-Month MA &amp; 6-Month MA (2020–2025)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'Moving-Average-Actual-3MA-6MA'!$A$1</c:f>
              <c:strCache>
                <c:ptCount val="1"/>
                <c:pt idx="0">
                  <c:v>GPR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'Moving-Average-Actual-3MA-6MA'!$A$2:$A$72</c:f>
              <c:numCache>
                <c:formatCode>#,##0.00</c:formatCode>
                <c:ptCount val="71"/>
                <c:pt idx="0">
                  <c:v>138.42094421386719</c:v>
                </c:pt>
                <c:pt idx="1">
                  <c:v>75.955558776855469</c:v>
                </c:pt>
                <c:pt idx="2">
                  <c:v>81.540031433105497</c:v>
                </c:pt>
                <c:pt idx="3">
                  <c:v>69.339401245117188</c:v>
                </c:pt>
                <c:pt idx="4">
                  <c:v>68.507217407226563</c:v>
                </c:pt>
                <c:pt idx="5">
                  <c:v>71.227859497070313</c:v>
                </c:pt>
                <c:pt idx="6">
                  <c:v>66.473281860351563</c:v>
                </c:pt>
                <c:pt idx="7">
                  <c:v>65.466049194335938</c:v>
                </c:pt>
                <c:pt idx="8">
                  <c:v>80.37738037109375</c:v>
                </c:pt>
                <c:pt idx="9">
                  <c:v>76.083168029785156</c:v>
                </c:pt>
                <c:pt idx="10">
                  <c:v>70.067466735839844</c:v>
                </c:pt>
                <c:pt idx="11">
                  <c:v>64.067291259765625</c:v>
                </c:pt>
                <c:pt idx="12">
                  <c:v>77.418701171875</c:v>
                </c:pt>
                <c:pt idx="13">
                  <c:v>73.956802368164063</c:v>
                </c:pt>
                <c:pt idx="14">
                  <c:v>78.618766784667969</c:v>
                </c:pt>
                <c:pt idx="15">
                  <c:v>88.166221618652344</c:v>
                </c:pt>
                <c:pt idx="16">
                  <c:v>93.007133483886719</c:v>
                </c:pt>
                <c:pt idx="17">
                  <c:v>74.127120971679688</c:v>
                </c:pt>
                <c:pt idx="18">
                  <c:v>58.420768737792969</c:v>
                </c:pt>
                <c:pt idx="19">
                  <c:v>89.486549377441406</c:v>
                </c:pt>
                <c:pt idx="20">
                  <c:v>80.696968078613281</c:v>
                </c:pt>
                <c:pt idx="21">
                  <c:v>79.02923583984375</c:v>
                </c:pt>
                <c:pt idx="22">
                  <c:v>86.569145202636719</c:v>
                </c:pt>
                <c:pt idx="23">
                  <c:v>105.34542083740234</c:v>
                </c:pt>
                <c:pt idx="24">
                  <c:v>138.67498779296875</c:v>
                </c:pt>
                <c:pt idx="25">
                  <c:v>216.15901184082031</c:v>
                </c:pt>
                <c:pt idx="26">
                  <c:v>318.95492553710938</c:v>
                </c:pt>
                <c:pt idx="27">
                  <c:v>191.14309692382813</c:v>
                </c:pt>
                <c:pt idx="28">
                  <c:v>142.25848388671875</c:v>
                </c:pt>
                <c:pt idx="29">
                  <c:v>130.70732116699219</c:v>
                </c:pt>
                <c:pt idx="30">
                  <c:v>117.17676544189453</c:v>
                </c:pt>
                <c:pt idx="31">
                  <c:v>132.86322021484375</c:v>
                </c:pt>
                <c:pt idx="32">
                  <c:v>131.98587036132813</c:v>
                </c:pt>
                <c:pt idx="33">
                  <c:v>143.16241455078125</c:v>
                </c:pt>
                <c:pt idx="34">
                  <c:v>116.71628570556641</c:v>
                </c:pt>
                <c:pt idx="35">
                  <c:v>111.19593811035156</c:v>
                </c:pt>
                <c:pt idx="36">
                  <c:v>104.26704406738281</c:v>
                </c:pt>
                <c:pt idx="37">
                  <c:v>120.99437713623047</c:v>
                </c:pt>
                <c:pt idx="38">
                  <c:v>105.37997436523438</c:v>
                </c:pt>
                <c:pt idx="39">
                  <c:v>106.80965423583984</c:v>
                </c:pt>
                <c:pt idx="40">
                  <c:v>108.46768188476563</c:v>
                </c:pt>
                <c:pt idx="41">
                  <c:v>110.52894592285156</c:v>
                </c:pt>
                <c:pt idx="42">
                  <c:v>107.44878387451172</c:v>
                </c:pt>
                <c:pt idx="43">
                  <c:v>101.14118194580078</c:v>
                </c:pt>
                <c:pt idx="44">
                  <c:v>98.634811401367188</c:v>
                </c:pt>
                <c:pt idx="45">
                  <c:v>197.88700866699219</c:v>
                </c:pt>
                <c:pt idx="46">
                  <c:v>156.69613647460938</c:v>
                </c:pt>
                <c:pt idx="47">
                  <c:v>142.27946472167969</c:v>
                </c:pt>
                <c:pt idx="48">
                  <c:v>160.3736572265625</c:v>
                </c:pt>
                <c:pt idx="49">
                  <c:v>146.59817504882813</c:v>
                </c:pt>
                <c:pt idx="50">
                  <c:v>133.21316528320313</c:v>
                </c:pt>
                <c:pt idx="51">
                  <c:v>163.94734191894531</c:v>
                </c:pt>
                <c:pt idx="52">
                  <c:v>130.52186584472656</c:v>
                </c:pt>
                <c:pt idx="53">
                  <c:v>113.09279632568359</c:v>
                </c:pt>
                <c:pt idx="54">
                  <c:v>92.394874572753906</c:v>
                </c:pt>
                <c:pt idx="55">
                  <c:v>140.97506713867188</c:v>
                </c:pt>
                <c:pt idx="56">
                  <c:v>130.35877990722656</c:v>
                </c:pt>
                <c:pt idx="57">
                  <c:v>130.689208984375</c:v>
                </c:pt>
                <c:pt idx="58">
                  <c:v>128.90164184570313</c:v>
                </c:pt>
                <c:pt idx="59">
                  <c:v>142.36643981933594</c:v>
                </c:pt>
                <c:pt idx="60">
                  <c:v>112.33326721191406</c:v>
                </c:pt>
                <c:pt idx="61">
                  <c:v>136.42637634277344</c:v>
                </c:pt>
                <c:pt idx="62">
                  <c:v>175.44340515136719</c:v>
                </c:pt>
                <c:pt idx="63">
                  <c:v>139.71894836425781</c:v>
                </c:pt>
                <c:pt idx="64">
                  <c:v>165.81121826171875</c:v>
                </c:pt>
                <c:pt idx="65">
                  <c:v>222.19857788085938</c:v>
                </c:pt>
                <c:pt idx="66">
                  <c:v>134.79460144042969</c:v>
                </c:pt>
                <c:pt idx="67">
                  <c:v>136.74961853027344</c:v>
                </c:pt>
                <c:pt idx="68">
                  <c:v>124.10614776611328</c:v>
                </c:pt>
                <c:pt idx="69">
                  <c:v>154.43557739257813</c:v>
                </c:pt>
                <c:pt idx="70">
                  <c:v>99.912399291992188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8-46A1-9172-8385E21CFCBE}"/>
            </c:ext>
          </c:extLst>
        </c:ser>
        <c:ser>
          <c:idx val="1"/>
          <c:order val="1"/>
          <c:tx>
            <c:strRef>
              <c:f>'Moving-Average-Actual-3MA-6MA'!$E$1</c:f>
              <c:strCache>
                <c:ptCount val="1"/>
                <c:pt idx="0">
                  <c:v>GPR-3MA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'Moving-Average-Actual-3MA-6MA'!$E$2:$E$72</c:f>
              <c:numCache>
                <c:formatCode>0.00</c:formatCode>
                <c:ptCount val="71"/>
                <c:pt idx="2">
                  <c:v>98.638844807942704</c:v>
                </c:pt>
                <c:pt idx="3">
                  <c:v>75.611663818359389</c:v>
                </c:pt>
                <c:pt idx="4">
                  <c:v>73.12888336181642</c:v>
                </c:pt>
                <c:pt idx="5">
                  <c:v>69.691492716471359</c:v>
                </c:pt>
                <c:pt idx="6">
                  <c:v>68.736119588216141</c:v>
                </c:pt>
                <c:pt idx="7">
                  <c:v>67.722396850585938</c:v>
                </c:pt>
                <c:pt idx="8">
                  <c:v>70.772237141927079</c:v>
                </c:pt>
                <c:pt idx="9">
                  <c:v>73.975532531738281</c:v>
                </c:pt>
                <c:pt idx="10">
                  <c:v>75.50933837890625</c:v>
                </c:pt>
                <c:pt idx="11">
                  <c:v>70.072642008463546</c:v>
                </c:pt>
                <c:pt idx="12">
                  <c:v>70.517819722493485</c:v>
                </c:pt>
                <c:pt idx="13">
                  <c:v>71.814264933268234</c:v>
                </c:pt>
                <c:pt idx="14">
                  <c:v>76.664756774902344</c:v>
                </c:pt>
                <c:pt idx="15">
                  <c:v>80.247263590494796</c:v>
                </c:pt>
                <c:pt idx="16">
                  <c:v>86.597373962402344</c:v>
                </c:pt>
                <c:pt idx="17">
                  <c:v>85.10015869140625</c:v>
                </c:pt>
                <c:pt idx="18">
                  <c:v>75.185007731119796</c:v>
                </c:pt>
                <c:pt idx="19">
                  <c:v>74.011479695638016</c:v>
                </c:pt>
                <c:pt idx="20">
                  <c:v>76.201428731282547</c:v>
                </c:pt>
                <c:pt idx="21">
                  <c:v>83.070917765299484</c:v>
                </c:pt>
                <c:pt idx="22">
                  <c:v>82.09844970703125</c:v>
                </c:pt>
                <c:pt idx="23">
                  <c:v>90.314600626627609</c:v>
                </c:pt>
                <c:pt idx="24">
                  <c:v>110.19651794433594</c:v>
                </c:pt>
                <c:pt idx="25">
                  <c:v>153.39314015706381</c:v>
                </c:pt>
                <c:pt idx="26">
                  <c:v>224.59630839029947</c:v>
                </c:pt>
                <c:pt idx="27">
                  <c:v>242.08567810058594</c:v>
                </c:pt>
                <c:pt idx="28">
                  <c:v>217.45216878255209</c:v>
                </c:pt>
                <c:pt idx="29">
                  <c:v>154.70296732584634</c:v>
                </c:pt>
                <c:pt idx="30">
                  <c:v>130.04752349853516</c:v>
                </c:pt>
                <c:pt idx="31">
                  <c:v>126.91576894124348</c:v>
                </c:pt>
                <c:pt idx="32">
                  <c:v>127.34195200602214</c:v>
                </c:pt>
                <c:pt idx="33">
                  <c:v>136.00383504231772</c:v>
                </c:pt>
                <c:pt idx="34">
                  <c:v>130.62152353922525</c:v>
                </c:pt>
                <c:pt idx="35">
                  <c:v>123.69154612223308</c:v>
                </c:pt>
                <c:pt idx="36">
                  <c:v>110.72642262776692</c:v>
                </c:pt>
                <c:pt idx="37">
                  <c:v>112.15245310465495</c:v>
                </c:pt>
                <c:pt idx="38">
                  <c:v>110.21379852294922</c:v>
                </c:pt>
                <c:pt idx="39">
                  <c:v>111.06133524576823</c:v>
                </c:pt>
                <c:pt idx="40">
                  <c:v>106.88577016194661</c:v>
                </c:pt>
                <c:pt idx="41">
                  <c:v>108.60209401448567</c:v>
                </c:pt>
                <c:pt idx="42">
                  <c:v>108.8151372273763</c:v>
                </c:pt>
                <c:pt idx="43">
                  <c:v>106.37297058105469</c:v>
                </c:pt>
                <c:pt idx="44">
                  <c:v>102.40825907389323</c:v>
                </c:pt>
                <c:pt idx="45">
                  <c:v>132.55433400472006</c:v>
                </c:pt>
                <c:pt idx="46">
                  <c:v>151.07265218098959</c:v>
                </c:pt>
                <c:pt idx="47">
                  <c:v>165.62086995442709</c:v>
                </c:pt>
                <c:pt idx="48">
                  <c:v>153.11641947428384</c:v>
                </c:pt>
                <c:pt idx="49">
                  <c:v>149.75043233235678</c:v>
                </c:pt>
                <c:pt idx="50">
                  <c:v>146.72833251953125</c:v>
                </c:pt>
                <c:pt idx="51">
                  <c:v>147.91956075032553</c:v>
                </c:pt>
                <c:pt idx="52">
                  <c:v>142.560791015625</c:v>
                </c:pt>
                <c:pt idx="53">
                  <c:v>135.8540013631185</c:v>
                </c:pt>
                <c:pt idx="54">
                  <c:v>112.00317891438802</c:v>
                </c:pt>
                <c:pt idx="55">
                  <c:v>115.48757934570313</c:v>
                </c:pt>
                <c:pt idx="56">
                  <c:v>121.24290720621745</c:v>
                </c:pt>
                <c:pt idx="57">
                  <c:v>134.00768534342447</c:v>
                </c:pt>
                <c:pt idx="58">
                  <c:v>129.98321024576822</c:v>
                </c:pt>
                <c:pt idx="59">
                  <c:v>133.98576354980469</c:v>
                </c:pt>
                <c:pt idx="60">
                  <c:v>127.8671162923177</c:v>
                </c:pt>
                <c:pt idx="61">
                  <c:v>130.37536112467447</c:v>
                </c:pt>
                <c:pt idx="62">
                  <c:v>141.40101623535156</c:v>
                </c:pt>
                <c:pt idx="63">
                  <c:v>150.52957661946616</c:v>
                </c:pt>
                <c:pt idx="64">
                  <c:v>160.32452392578125</c:v>
                </c:pt>
                <c:pt idx="65">
                  <c:v>175.90958150227866</c:v>
                </c:pt>
                <c:pt idx="66">
                  <c:v>174.26813252766928</c:v>
                </c:pt>
                <c:pt idx="67">
                  <c:v>164.5809326171875</c:v>
                </c:pt>
                <c:pt idx="68">
                  <c:v>131.88345591227213</c:v>
                </c:pt>
                <c:pt idx="69">
                  <c:v>138.43044789632162</c:v>
                </c:pt>
                <c:pt idx="70">
                  <c:v>126.15137481689453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8-46A1-9172-8385E21CFCBE}"/>
            </c:ext>
          </c:extLst>
        </c:ser>
        <c:ser>
          <c:idx val="2"/>
          <c:order val="2"/>
          <c:tx>
            <c:strRef>
              <c:f>'Moving-Average-Actual-3MA-6MA'!$I$1</c:f>
              <c:strCache>
                <c:ptCount val="1"/>
                <c:pt idx="0">
                  <c:v>GPR-6MA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'Moving-Average-Actual-3MA-6MA'!$I$2:$I$72</c:f>
              <c:numCache>
                <c:formatCode>0.00</c:formatCode>
                <c:ptCount val="71"/>
                <c:pt idx="5">
                  <c:v>84.165168762207031</c:v>
                </c:pt>
                <c:pt idx="6">
                  <c:v>72.173891703287765</c:v>
                </c:pt>
                <c:pt idx="7">
                  <c:v>70.425640106201172</c:v>
                </c:pt>
                <c:pt idx="8">
                  <c:v>70.231864929199219</c:v>
                </c:pt>
                <c:pt idx="9">
                  <c:v>71.355826059977218</c:v>
                </c:pt>
                <c:pt idx="10">
                  <c:v>71.615867614746094</c:v>
                </c:pt>
                <c:pt idx="11">
                  <c:v>70.422439575195313</c:v>
                </c:pt>
                <c:pt idx="12">
                  <c:v>72.24667612711589</c:v>
                </c:pt>
                <c:pt idx="13">
                  <c:v>73.661801656087235</c:v>
                </c:pt>
                <c:pt idx="14">
                  <c:v>73.368699391682938</c:v>
                </c:pt>
                <c:pt idx="15">
                  <c:v>75.382541656494141</c:v>
                </c:pt>
                <c:pt idx="16">
                  <c:v>79.205819447835282</c:v>
                </c:pt>
                <c:pt idx="17">
                  <c:v>80.882457733154297</c:v>
                </c:pt>
                <c:pt idx="18">
                  <c:v>77.716135660807296</c:v>
                </c:pt>
                <c:pt idx="19">
                  <c:v>80.304426829020187</c:v>
                </c:pt>
                <c:pt idx="20">
                  <c:v>80.650793711344406</c:v>
                </c:pt>
                <c:pt idx="21">
                  <c:v>79.12796274820964</c:v>
                </c:pt>
                <c:pt idx="22">
                  <c:v>78.05496470133464</c:v>
                </c:pt>
                <c:pt idx="23">
                  <c:v>83.258014678955078</c:v>
                </c:pt>
                <c:pt idx="24">
                  <c:v>96.633717854817704</c:v>
                </c:pt>
                <c:pt idx="25">
                  <c:v>117.74579493204753</c:v>
                </c:pt>
                <c:pt idx="26">
                  <c:v>157.45545450846353</c:v>
                </c:pt>
                <c:pt idx="27">
                  <c:v>176.14109802246094</c:v>
                </c:pt>
                <c:pt idx="28">
                  <c:v>185.42265446980795</c:v>
                </c:pt>
                <c:pt idx="29">
                  <c:v>189.64963785807291</c:v>
                </c:pt>
                <c:pt idx="30">
                  <c:v>186.06660079956055</c:v>
                </c:pt>
                <c:pt idx="31">
                  <c:v>172.1839688618978</c:v>
                </c:pt>
                <c:pt idx="32">
                  <c:v>141.02245966593424</c:v>
                </c:pt>
                <c:pt idx="33">
                  <c:v>133.02567927042642</c:v>
                </c:pt>
                <c:pt idx="34">
                  <c:v>128.76864624023438</c:v>
                </c:pt>
                <c:pt idx="35">
                  <c:v>125.51674906412761</c:v>
                </c:pt>
                <c:pt idx="36">
                  <c:v>123.36512883504231</c:v>
                </c:pt>
                <c:pt idx="37">
                  <c:v>121.38698832194011</c:v>
                </c:pt>
                <c:pt idx="38">
                  <c:v>116.95267232259114</c:v>
                </c:pt>
                <c:pt idx="39">
                  <c:v>110.89387893676758</c:v>
                </c:pt>
                <c:pt idx="40">
                  <c:v>109.51911163330078</c:v>
                </c:pt>
                <c:pt idx="41">
                  <c:v>109.40794626871745</c:v>
                </c:pt>
                <c:pt idx="42">
                  <c:v>109.93823623657227</c:v>
                </c:pt>
                <c:pt idx="43">
                  <c:v>106.62937037150066</c:v>
                </c:pt>
                <c:pt idx="44">
                  <c:v>105.50517654418945</c:v>
                </c:pt>
                <c:pt idx="45">
                  <c:v>120.68473561604817</c:v>
                </c:pt>
                <c:pt idx="46">
                  <c:v>128.72281138102213</c:v>
                </c:pt>
                <c:pt idx="47">
                  <c:v>134.01456451416016</c:v>
                </c:pt>
                <c:pt idx="48">
                  <c:v>142.83537673950195</c:v>
                </c:pt>
                <c:pt idx="49">
                  <c:v>150.41154225667319</c:v>
                </c:pt>
                <c:pt idx="50">
                  <c:v>156.17460123697916</c:v>
                </c:pt>
                <c:pt idx="51">
                  <c:v>150.51799011230469</c:v>
                </c:pt>
                <c:pt idx="52">
                  <c:v>146.15561167399088</c:v>
                </c:pt>
                <c:pt idx="53">
                  <c:v>141.29116694132486</c:v>
                </c:pt>
                <c:pt idx="54">
                  <c:v>129.96136983235678</c:v>
                </c:pt>
                <c:pt idx="55">
                  <c:v>129.02418518066406</c:v>
                </c:pt>
                <c:pt idx="56">
                  <c:v>128.54845428466797</c:v>
                </c:pt>
                <c:pt idx="57">
                  <c:v>123.00543212890625</c:v>
                </c:pt>
                <c:pt idx="58">
                  <c:v>122.73539479573567</c:v>
                </c:pt>
                <c:pt idx="59">
                  <c:v>127.61433537801106</c:v>
                </c:pt>
                <c:pt idx="60">
                  <c:v>130.93740081787109</c:v>
                </c:pt>
                <c:pt idx="61">
                  <c:v>130.17928568522134</c:v>
                </c:pt>
                <c:pt idx="62">
                  <c:v>137.69338989257813</c:v>
                </c:pt>
                <c:pt idx="63">
                  <c:v>139.19834645589194</c:v>
                </c:pt>
                <c:pt idx="64">
                  <c:v>145.34994252522787</c:v>
                </c:pt>
                <c:pt idx="65">
                  <c:v>158.65529886881509</c:v>
                </c:pt>
                <c:pt idx="66">
                  <c:v>162.39885457356772</c:v>
                </c:pt>
                <c:pt idx="67">
                  <c:v>162.45272827148438</c:v>
                </c:pt>
                <c:pt idx="68">
                  <c:v>153.89651870727539</c:v>
                </c:pt>
                <c:pt idx="69">
                  <c:v>156.34929021199545</c:v>
                </c:pt>
                <c:pt idx="70">
                  <c:v>145.36615371704102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8-46A1-9172-8385E21CF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39887"/>
        <c:axId val="142740367"/>
      </c:lineChart>
      <c:catAx>
        <c:axId val="142739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0367"/>
        <c:crosses val="autoZero"/>
        <c:auto val="1"/>
        <c:lblAlgn val="ctr"/>
        <c:lblOffset val="100"/>
        <c:noMultiLvlLbl val="0"/>
      </c:catAx>
      <c:valAx>
        <c:axId val="1427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Gold</a:t>
            </a:r>
          </a:p>
          <a:p>
            <a:pPr>
              <a:defRPr/>
            </a:pPr>
            <a:r>
              <a:rPr lang="en-IN" sz="1400" b="0" i="0" u="none" strike="noStrike" baseline="0"/>
              <a:t>Actual, 3-Month MA &amp; 6-Month MA (2020–2025)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'Moving-Average-Actual-3MA-6MA'!$B$1</c:f>
              <c:strCache>
                <c:ptCount val="1"/>
                <c:pt idx="0">
                  <c:v>Gold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'Moving-Average-Actual-3MA-6MA'!$B$2:$B$72</c:f>
              <c:numCache>
                <c:formatCode>0.00</c:formatCode>
                <c:ptCount val="71"/>
                <c:pt idx="0">
                  <c:v>39991.54017</c:v>
                </c:pt>
                <c:pt idx="1">
                  <c:v>41196.719270000001</c:v>
                </c:pt>
                <c:pt idx="2">
                  <c:v>41726.918879999997</c:v>
                </c:pt>
                <c:pt idx="3">
                  <c:v>40988.969429999997</c:v>
                </c:pt>
                <c:pt idx="4">
                  <c:v>40988.969429999997</c:v>
                </c:pt>
                <c:pt idx="5">
                  <c:v>46781.285109999997</c:v>
                </c:pt>
                <c:pt idx="6">
                  <c:v>49912.79277</c:v>
                </c:pt>
                <c:pt idx="7">
                  <c:v>53038.150439999998</c:v>
                </c:pt>
                <c:pt idx="8">
                  <c:v>50901.282030000002</c:v>
                </c:pt>
                <c:pt idx="9">
                  <c:v>50715.532169999999</c:v>
                </c:pt>
                <c:pt idx="10">
                  <c:v>50407.232400000001</c:v>
                </c:pt>
                <c:pt idx="11">
                  <c:v>49467.413099999998</c:v>
                </c:pt>
                <c:pt idx="12">
                  <c:v>49639.122969999997</c:v>
                </c:pt>
                <c:pt idx="13">
                  <c:v>47141.514840000003</c:v>
                </c:pt>
                <c:pt idx="14">
                  <c:v>44649.4467</c:v>
                </c:pt>
                <c:pt idx="15">
                  <c:v>46724.255149999997</c:v>
                </c:pt>
                <c:pt idx="16">
                  <c:v>47889.444280000003</c:v>
                </c:pt>
                <c:pt idx="17">
                  <c:v>47902.914270000001</c:v>
                </c:pt>
                <c:pt idx="18">
                  <c:v>47791.964350000002</c:v>
                </c:pt>
                <c:pt idx="19">
                  <c:v>47097.604870000003</c:v>
                </c:pt>
                <c:pt idx="20">
                  <c:v>46589.055249999998</c:v>
                </c:pt>
                <c:pt idx="21">
                  <c:v>47251.584759999998</c:v>
                </c:pt>
                <c:pt idx="22">
                  <c:v>48162.914080000002</c:v>
                </c:pt>
                <c:pt idx="23">
                  <c:v>47900.134270000002</c:v>
                </c:pt>
                <c:pt idx="24">
                  <c:v>47983.414210000003</c:v>
                </c:pt>
                <c:pt idx="25">
                  <c:v>49279.413240000002</c:v>
                </c:pt>
                <c:pt idx="26">
                  <c:v>51672.351459999998</c:v>
                </c:pt>
                <c:pt idx="27">
                  <c:v>52057.861169999996</c:v>
                </c:pt>
                <c:pt idx="28">
                  <c:v>50887.232040000003</c:v>
                </c:pt>
                <c:pt idx="29">
                  <c:v>50808.822099999998</c:v>
                </c:pt>
                <c:pt idx="30">
                  <c:v>50752.962140000003</c:v>
                </c:pt>
                <c:pt idx="31">
                  <c:v>51635.051489999998</c:v>
                </c:pt>
                <c:pt idx="32">
                  <c:v>49957.012739999998</c:v>
                </c:pt>
                <c:pt idx="33">
                  <c:v>50372.482429999996</c:v>
                </c:pt>
                <c:pt idx="34">
                  <c:v>51843.821329999999</c:v>
                </c:pt>
                <c:pt idx="35">
                  <c:v>53928.689769999997</c:v>
                </c:pt>
                <c:pt idx="36">
                  <c:v>56221.668060000004</c:v>
                </c:pt>
                <c:pt idx="37">
                  <c:v>56655.057739999997</c:v>
                </c:pt>
                <c:pt idx="38">
                  <c:v>57577.527049999997</c:v>
                </c:pt>
                <c:pt idx="39">
                  <c:v>60128.425150000003</c:v>
                </c:pt>
                <c:pt idx="40">
                  <c:v>60551.864829999999</c:v>
                </c:pt>
                <c:pt idx="41">
                  <c:v>59023.005969999998</c:v>
                </c:pt>
                <c:pt idx="42">
                  <c:v>58937.056040000003</c:v>
                </c:pt>
                <c:pt idx="43">
                  <c:v>58722.136200000001</c:v>
                </c:pt>
                <c:pt idx="44">
                  <c:v>58785.386149999998</c:v>
                </c:pt>
                <c:pt idx="45">
                  <c:v>58852.666100000002</c:v>
                </c:pt>
                <c:pt idx="46">
                  <c:v>60769.274669999999</c:v>
                </c:pt>
                <c:pt idx="47">
                  <c:v>62218.703589999997</c:v>
                </c:pt>
                <c:pt idx="48">
                  <c:v>62336.273500000003</c:v>
                </c:pt>
                <c:pt idx="49">
                  <c:v>62030.713730000003</c:v>
                </c:pt>
                <c:pt idx="50">
                  <c:v>65305.701289999997</c:v>
                </c:pt>
                <c:pt idx="51">
                  <c:v>71481.626680000001</c:v>
                </c:pt>
                <c:pt idx="52">
                  <c:v>72180.336160000006</c:v>
                </c:pt>
                <c:pt idx="53">
                  <c:v>71545.746629999994</c:v>
                </c:pt>
                <c:pt idx="54">
                  <c:v>71379.59676</c:v>
                </c:pt>
                <c:pt idx="55">
                  <c:v>70380.707500000004</c:v>
                </c:pt>
                <c:pt idx="56">
                  <c:v>72882.655639999997</c:v>
                </c:pt>
                <c:pt idx="57">
                  <c:v>76706.532779999994</c:v>
                </c:pt>
                <c:pt idx="58">
                  <c:v>76268.423110000003</c:v>
                </c:pt>
                <c:pt idx="59">
                  <c:v>76219.373149999999</c:v>
                </c:pt>
                <c:pt idx="60">
                  <c:v>78634.771349999995</c:v>
                </c:pt>
                <c:pt idx="61">
                  <c:v>85081.936539999995</c:v>
                </c:pt>
                <c:pt idx="62">
                  <c:v>86940.885150000002</c:v>
                </c:pt>
                <c:pt idx="63">
                  <c:v>92838.260750000001</c:v>
                </c:pt>
                <c:pt idx="64">
                  <c:v>94645.979399999997</c:v>
                </c:pt>
                <c:pt idx="65">
                  <c:v>97154.497529999993</c:v>
                </c:pt>
                <c:pt idx="66">
                  <c:v>97560.407229999997</c:v>
                </c:pt>
                <c:pt idx="67">
                  <c:v>99704.675629999998</c:v>
                </c:pt>
                <c:pt idx="68">
                  <c:v>109576.0583</c:v>
                </c:pt>
                <c:pt idx="69">
                  <c:v>122815.22840000001</c:v>
                </c:pt>
                <c:pt idx="70">
                  <c:v>122847.55839999999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F-4000-B5D3-EA22631E01A9}"/>
            </c:ext>
          </c:extLst>
        </c:ser>
        <c:ser>
          <c:idx val="1"/>
          <c:order val="1"/>
          <c:tx>
            <c:strRef>
              <c:f>'Moving-Average-Actual-3MA-6MA'!$F$1</c:f>
              <c:strCache>
                <c:ptCount val="1"/>
                <c:pt idx="0">
                  <c:v>Gold-3MA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'Moving-Average-Actual-3MA-6MA'!$F$2:$F$72</c:f>
              <c:numCache>
                <c:formatCode>0.00</c:formatCode>
                <c:ptCount val="71"/>
                <c:pt idx="2">
                  <c:v>40971.726106666662</c:v>
                </c:pt>
                <c:pt idx="3">
                  <c:v>41304.202526666668</c:v>
                </c:pt>
                <c:pt idx="4">
                  <c:v>41234.952579999997</c:v>
                </c:pt>
                <c:pt idx="5">
                  <c:v>42919.741323333328</c:v>
                </c:pt>
                <c:pt idx="6">
                  <c:v>45894.349103333334</c:v>
                </c:pt>
                <c:pt idx="7">
                  <c:v>49910.742773333332</c:v>
                </c:pt>
                <c:pt idx="8">
                  <c:v>51284.075080000002</c:v>
                </c:pt>
                <c:pt idx="9">
                  <c:v>51551.654879999995</c:v>
                </c:pt>
                <c:pt idx="10">
                  <c:v>50674.682200000003</c:v>
                </c:pt>
                <c:pt idx="11">
                  <c:v>50196.725890000002</c:v>
                </c:pt>
                <c:pt idx="12">
                  <c:v>49837.922823333334</c:v>
                </c:pt>
                <c:pt idx="13">
                  <c:v>48749.350303333333</c:v>
                </c:pt>
                <c:pt idx="14">
                  <c:v>47143.361503333341</c:v>
                </c:pt>
                <c:pt idx="15">
                  <c:v>46171.738896666669</c:v>
                </c:pt>
                <c:pt idx="16">
                  <c:v>46421.048710000003</c:v>
                </c:pt>
                <c:pt idx="17">
                  <c:v>47505.537900000003</c:v>
                </c:pt>
                <c:pt idx="18">
                  <c:v>47861.440966666669</c:v>
                </c:pt>
                <c:pt idx="19">
                  <c:v>47597.494496666674</c:v>
                </c:pt>
                <c:pt idx="20">
                  <c:v>47159.541490000003</c:v>
                </c:pt>
                <c:pt idx="21">
                  <c:v>46979.414960000002</c:v>
                </c:pt>
                <c:pt idx="22">
                  <c:v>47334.518029999999</c:v>
                </c:pt>
                <c:pt idx="23">
                  <c:v>47771.544369999996</c:v>
                </c:pt>
                <c:pt idx="24">
                  <c:v>48015.487520000002</c:v>
                </c:pt>
                <c:pt idx="25">
                  <c:v>48387.653906666666</c:v>
                </c:pt>
                <c:pt idx="26">
                  <c:v>49645.059636666672</c:v>
                </c:pt>
                <c:pt idx="27">
                  <c:v>51003.208623333332</c:v>
                </c:pt>
                <c:pt idx="28">
                  <c:v>51539.14822333333</c:v>
                </c:pt>
                <c:pt idx="29">
                  <c:v>51251.305103333325</c:v>
                </c:pt>
                <c:pt idx="30">
                  <c:v>50816.338759999991</c:v>
                </c:pt>
                <c:pt idx="31">
                  <c:v>51065.61191</c:v>
                </c:pt>
                <c:pt idx="32">
                  <c:v>50781.675456666671</c:v>
                </c:pt>
                <c:pt idx="33">
                  <c:v>50654.848886666667</c:v>
                </c:pt>
                <c:pt idx="34">
                  <c:v>50724.438833333326</c:v>
                </c:pt>
                <c:pt idx="35">
                  <c:v>52048.331176666659</c:v>
                </c:pt>
                <c:pt idx="36">
                  <c:v>53998.059719999997</c:v>
                </c:pt>
                <c:pt idx="37">
                  <c:v>55601.805189999992</c:v>
                </c:pt>
                <c:pt idx="38">
                  <c:v>56818.08428333333</c:v>
                </c:pt>
                <c:pt idx="39">
                  <c:v>58120.336646666663</c:v>
                </c:pt>
                <c:pt idx="40">
                  <c:v>59419.272343333338</c:v>
                </c:pt>
                <c:pt idx="41">
                  <c:v>59901.09865</c:v>
                </c:pt>
                <c:pt idx="42">
                  <c:v>59503.975613333336</c:v>
                </c:pt>
                <c:pt idx="43">
                  <c:v>58894.066070000001</c:v>
                </c:pt>
                <c:pt idx="44">
                  <c:v>58814.859463333334</c:v>
                </c:pt>
                <c:pt idx="45">
                  <c:v>58786.729483333336</c:v>
                </c:pt>
                <c:pt idx="46">
                  <c:v>59469.108973333343</c:v>
                </c:pt>
                <c:pt idx="47">
                  <c:v>60613.548119999999</c:v>
                </c:pt>
                <c:pt idx="48">
                  <c:v>61774.750586666669</c:v>
                </c:pt>
                <c:pt idx="49">
                  <c:v>62195.230273333342</c:v>
                </c:pt>
                <c:pt idx="50">
                  <c:v>63224.229506666663</c:v>
                </c:pt>
                <c:pt idx="51">
                  <c:v>66272.680566666662</c:v>
                </c:pt>
                <c:pt idx="52">
                  <c:v>69655.888043333325</c:v>
                </c:pt>
                <c:pt idx="53">
                  <c:v>71735.903156666667</c:v>
                </c:pt>
                <c:pt idx="54">
                  <c:v>71701.893183333334</c:v>
                </c:pt>
                <c:pt idx="55">
                  <c:v>71102.016963333343</c:v>
                </c:pt>
                <c:pt idx="56">
                  <c:v>71547.653300000005</c:v>
                </c:pt>
                <c:pt idx="57">
                  <c:v>73323.298639999994</c:v>
                </c:pt>
                <c:pt idx="58">
                  <c:v>75285.870509999993</c:v>
                </c:pt>
                <c:pt idx="59">
                  <c:v>76398.109679999994</c:v>
                </c:pt>
                <c:pt idx="60">
                  <c:v>77040.855869999999</c:v>
                </c:pt>
                <c:pt idx="61">
                  <c:v>79978.693679999997</c:v>
                </c:pt>
                <c:pt idx="62">
                  <c:v>83552.531013333341</c:v>
                </c:pt>
                <c:pt idx="63">
                  <c:v>88287.027480000004</c:v>
                </c:pt>
                <c:pt idx="64">
                  <c:v>91475.041766666676</c:v>
                </c:pt>
                <c:pt idx="65">
                  <c:v>94879.579226666669</c:v>
                </c:pt>
                <c:pt idx="66">
                  <c:v>96453.628053333334</c:v>
                </c:pt>
                <c:pt idx="67">
                  <c:v>98139.860130000001</c:v>
                </c:pt>
                <c:pt idx="68">
                  <c:v>102280.38038666667</c:v>
                </c:pt>
                <c:pt idx="69">
                  <c:v>110698.65411</c:v>
                </c:pt>
                <c:pt idx="70">
                  <c:v>118412.94836666666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F-4000-B5D3-EA22631E01A9}"/>
            </c:ext>
          </c:extLst>
        </c:ser>
        <c:ser>
          <c:idx val="2"/>
          <c:order val="2"/>
          <c:tx>
            <c:strRef>
              <c:f>'Moving-Average-Actual-3MA-6MA'!$J$1</c:f>
              <c:strCache>
                <c:ptCount val="1"/>
                <c:pt idx="0">
                  <c:v>Gold-6MA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'Moving-Average-Actual-3MA-6MA'!$J$2:$J$72</c:f>
              <c:numCache>
                <c:formatCode>0.00</c:formatCode>
                <c:ptCount val="71"/>
                <c:pt idx="5">
                  <c:v>41945.733715000002</c:v>
                </c:pt>
                <c:pt idx="6">
                  <c:v>43599.275815000001</c:v>
                </c:pt>
                <c:pt idx="7">
                  <c:v>45572.847676666664</c:v>
                </c:pt>
                <c:pt idx="8">
                  <c:v>47101.908201666665</c:v>
                </c:pt>
                <c:pt idx="9">
                  <c:v>48723.001991666672</c:v>
                </c:pt>
                <c:pt idx="10">
                  <c:v>50292.712486666664</c:v>
                </c:pt>
                <c:pt idx="11">
                  <c:v>50740.400484999998</c:v>
                </c:pt>
                <c:pt idx="12">
                  <c:v>50694.788851666672</c:v>
                </c:pt>
                <c:pt idx="13">
                  <c:v>49712.016251666668</c:v>
                </c:pt>
                <c:pt idx="14">
                  <c:v>48670.04369666666</c:v>
                </c:pt>
                <c:pt idx="15">
                  <c:v>48004.830860000009</c:v>
                </c:pt>
                <c:pt idx="16">
                  <c:v>47585.199506666664</c:v>
                </c:pt>
                <c:pt idx="17">
                  <c:v>47324.449701666665</c:v>
                </c:pt>
                <c:pt idx="18">
                  <c:v>47016.589931666669</c:v>
                </c:pt>
                <c:pt idx="19">
                  <c:v>47009.271603333334</c:v>
                </c:pt>
                <c:pt idx="20">
                  <c:v>47332.539695000007</c:v>
                </c:pt>
                <c:pt idx="21">
                  <c:v>47420.427963333343</c:v>
                </c:pt>
                <c:pt idx="22">
                  <c:v>47466.006263333336</c:v>
                </c:pt>
                <c:pt idx="23">
                  <c:v>47465.542929999996</c:v>
                </c:pt>
                <c:pt idx="24">
                  <c:v>47497.451240000002</c:v>
                </c:pt>
                <c:pt idx="25">
                  <c:v>47861.085968333333</c:v>
                </c:pt>
                <c:pt idx="26">
                  <c:v>48708.302003333338</c:v>
                </c:pt>
                <c:pt idx="27">
                  <c:v>49509.348071666667</c:v>
                </c:pt>
                <c:pt idx="28">
                  <c:v>49963.401065000005</c:v>
                </c:pt>
                <c:pt idx="29">
                  <c:v>50448.182370000002</c:v>
                </c:pt>
                <c:pt idx="30">
                  <c:v>50909.773691666662</c:v>
                </c:pt>
                <c:pt idx="31">
                  <c:v>51302.380066666665</c:v>
                </c:pt>
                <c:pt idx="32">
                  <c:v>51016.490279999991</c:v>
                </c:pt>
                <c:pt idx="33">
                  <c:v>50735.593823333329</c:v>
                </c:pt>
                <c:pt idx="34">
                  <c:v>50895.02537166667</c:v>
                </c:pt>
                <c:pt idx="35">
                  <c:v>51415.003316666669</c:v>
                </c:pt>
                <c:pt idx="36">
                  <c:v>52326.454303333332</c:v>
                </c:pt>
                <c:pt idx="37">
                  <c:v>53163.122011666674</c:v>
                </c:pt>
                <c:pt idx="38">
                  <c:v>54433.207729999995</c:v>
                </c:pt>
                <c:pt idx="39">
                  <c:v>56059.198183333334</c:v>
                </c:pt>
                <c:pt idx="40">
                  <c:v>57510.538766666665</c:v>
                </c:pt>
                <c:pt idx="41">
                  <c:v>58359.591466666665</c:v>
                </c:pt>
                <c:pt idx="42">
                  <c:v>58812.156129999996</c:v>
                </c:pt>
                <c:pt idx="43">
                  <c:v>59156.669206666673</c:v>
                </c:pt>
                <c:pt idx="44">
                  <c:v>59357.979056666663</c:v>
                </c:pt>
                <c:pt idx="45">
                  <c:v>59145.352548333329</c:v>
                </c:pt>
                <c:pt idx="46">
                  <c:v>59181.587521666668</c:v>
                </c:pt>
                <c:pt idx="47">
                  <c:v>59714.203791666667</c:v>
                </c:pt>
                <c:pt idx="48">
                  <c:v>60280.740035000003</c:v>
                </c:pt>
                <c:pt idx="49">
                  <c:v>60832.169623333342</c:v>
                </c:pt>
                <c:pt idx="50">
                  <c:v>61918.888813333331</c:v>
                </c:pt>
                <c:pt idx="51">
                  <c:v>64023.715576666669</c:v>
                </c:pt>
                <c:pt idx="52">
                  <c:v>65925.55915833333</c:v>
                </c:pt>
                <c:pt idx="53">
                  <c:v>67480.066331666676</c:v>
                </c:pt>
                <c:pt idx="54">
                  <c:v>68987.286875000005</c:v>
                </c:pt>
                <c:pt idx="55">
                  <c:v>70378.952503333334</c:v>
                </c:pt>
                <c:pt idx="56">
                  <c:v>71641.778228333336</c:v>
                </c:pt>
                <c:pt idx="57">
                  <c:v>72512.595911666678</c:v>
                </c:pt>
                <c:pt idx="58">
                  <c:v>73193.943736666683</c:v>
                </c:pt>
                <c:pt idx="59">
                  <c:v>73972.88149</c:v>
                </c:pt>
                <c:pt idx="60">
                  <c:v>75182.077254999997</c:v>
                </c:pt>
                <c:pt idx="61">
                  <c:v>77632.282094999988</c:v>
                </c:pt>
                <c:pt idx="62">
                  <c:v>79975.32034666666</c:v>
                </c:pt>
                <c:pt idx="63">
                  <c:v>82663.941674999995</c:v>
                </c:pt>
                <c:pt idx="64">
                  <c:v>85726.867723333344</c:v>
                </c:pt>
                <c:pt idx="65">
                  <c:v>89216.05511999999</c:v>
                </c:pt>
                <c:pt idx="66">
                  <c:v>92370.327766666669</c:v>
                </c:pt>
                <c:pt idx="67">
                  <c:v>94807.450948333324</c:v>
                </c:pt>
                <c:pt idx="68">
                  <c:v>98579.97980666667</c:v>
                </c:pt>
                <c:pt idx="69">
                  <c:v>103576.14108166668</c:v>
                </c:pt>
                <c:pt idx="70">
                  <c:v>108276.40424833335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0F-4000-B5D3-EA22631E0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15631"/>
        <c:axId val="153112751"/>
      </c:lineChart>
      <c:catAx>
        <c:axId val="153115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2751"/>
        <c:crosses val="autoZero"/>
        <c:auto val="1"/>
        <c:lblAlgn val="ctr"/>
        <c:lblOffset val="100"/>
        <c:noMultiLvlLbl val="0"/>
      </c:catAx>
      <c:valAx>
        <c:axId val="1531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Nifty</a:t>
            </a:r>
          </a:p>
          <a:p>
            <a:pPr>
              <a:defRPr/>
            </a:pPr>
            <a:r>
              <a:rPr lang="en-IN" sz="1400" b="0" i="0" u="none" strike="noStrike" baseline="0"/>
              <a:t>Actual, 3-Month MA &amp; 6-Month MA (2020–2025)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'Moving-Average-Actual-3MA-6MA'!$C$1</c:f>
              <c:strCache>
                <c:ptCount val="1"/>
                <c:pt idx="0">
                  <c:v>Nifty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'Moving-Average-Actual-3MA-6MA'!$C$2:$C$72</c:f>
              <c:numCache>
                <c:formatCode>0.00</c:formatCode>
                <c:ptCount val="71"/>
                <c:pt idx="0">
                  <c:v>11962.1</c:v>
                </c:pt>
                <c:pt idx="1">
                  <c:v>11201.75</c:v>
                </c:pt>
                <c:pt idx="2">
                  <c:v>8597.75</c:v>
                </c:pt>
                <c:pt idx="3">
                  <c:v>9859.9</c:v>
                </c:pt>
                <c:pt idx="4">
                  <c:v>9580.2999999999993</c:v>
                </c:pt>
                <c:pt idx="5">
                  <c:v>10302.1</c:v>
                </c:pt>
                <c:pt idx="6">
                  <c:v>11073.45</c:v>
                </c:pt>
                <c:pt idx="7">
                  <c:v>11387.5</c:v>
                </c:pt>
                <c:pt idx="8">
                  <c:v>11247.55</c:v>
                </c:pt>
                <c:pt idx="9">
                  <c:v>11642.4</c:v>
                </c:pt>
                <c:pt idx="10">
                  <c:v>12968.95</c:v>
                </c:pt>
                <c:pt idx="11">
                  <c:v>13981.75</c:v>
                </c:pt>
                <c:pt idx="12">
                  <c:v>13634.6</c:v>
                </c:pt>
                <c:pt idx="13">
                  <c:v>14529.15</c:v>
                </c:pt>
                <c:pt idx="14">
                  <c:v>14690.7</c:v>
                </c:pt>
                <c:pt idx="15">
                  <c:v>14631.1</c:v>
                </c:pt>
                <c:pt idx="16">
                  <c:v>15582.8</c:v>
                </c:pt>
                <c:pt idx="17">
                  <c:v>15721.5</c:v>
                </c:pt>
                <c:pt idx="18">
                  <c:v>15763.05</c:v>
                </c:pt>
                <c:pt idx="19">
                  <c:v>17132.2</c:v>
                </c:pt>
                <c:pt idx="20">
                  <c:v>17618.150000000001</c:v>
                </c:pt>
                <c:pt idx="21">
                  <c:v>17671.650000000001</c:v>
                </c:pt>
                <c:pt idx="22">
                  <c:v>16983.2</c:v>
                </c:pt>
                <c:pt idx="23">
                  <c:v>17354.05</c:v>
                </c:pt>
                <c:pt idx="24">
                  <c:v>17339.849999999999</c:v>
                </c:pt>
                <c:pt idx="25">
                  <c:v>16793.900000000001</c:v>
                </c:pt>
                <c:pt idx="26">
                  <c:v>17464.75</c:v>
                </c:pt>
                <c:pt idx="27">
                  <c:v>17102.55</c:v>
                </c:pt>
                <c:pt idx="28">
                  <c:v>16584.55</c:v>
                </c:pt>
                <c:pt idx="29">
                  <c:v>15780.25</c:v>
                </c:pt>
                <c:pt idx="30">
                  <c:v>17158.25</c:v>
                </c:pt>
                <c:pt idx="31">
                  <c:v>17759.3</c:v>
                </c:pt>
                <c:pt idx="32">
                  <c:v>17094.349999999999</c:v>
                </c:pt>
                <c:pt idx="33">
                  <c:v>18012.2</c:v>
                </c:pt>
                <c:pt idx="34">
                  <c:v>18758.349999999999</c:v>
                </c:pt>
                <c:pt idx="35">
                  <c:v>18105.3</c:v>
                </c:pt>
                <c:pt idx="36">
                  <c:v>17662.150000000001</c:v>
                </c:pt>
                <c:pt idx="37">
                  <c:v>17303.95</c:v>
                </c:pt>
                <c:pt idx="38">
                  <c:v>17359.75</c:v>
                </c:pt>
                <c:pt idx="39">
                  <c:v>18065</c:v>
                </c:pt>
                <c:pt idx="40">
                  <c:v>18534.400000000001</c:v>
                </c:pt>
                <c:pt idx="41">
                  <c:v>19189.05</c:v>
                </c:pt>
                <c:pt idx="42">
                  <c:v>19753.8</c:v>
                </c:pt>
                <c:pt idx="43">
                  <c:v>19253.8</c:v>
                </c:pt>
                <c:pt idx="44">
                  <c:v>19638.3</c:v>
                </c:pt>
                <c:pt idx="45">
                  <c:v>19079.599999999999</c:v>
                </c:pt>
                <c:pt idx="46">
                  <c:v>20133.150000000001</c:v>
                </c:pt>
                <c:pt idx="47">
                  <c:v>21731.4</c:v>
                </c:pt>
                <c:pt idx="48">
                  <c:v>21725.7</c:v>
                </c:pt>
                <c:pt idx="49">
                  <c:v>21982.799999999999</c:v>
                </c:pt>
                <c:pt idx="50">
                  <c:v>22326.9</c:v>
                </c:pt>
                <c:pt idx="51">
                  <c:v>22604.85</c:v>
                </c:pt>
                <c:pt idx="52">
                  <c:v>22530.7</c:v>
                </c:pt>
                <c:pt idx="53">
                  <c:v>24010.6</c:v>
                </c:pt>
                <c:pt idx="54">
                  <c:v>24951.15</c:v>
                </c:pt>
                <c:pt idx="55">
                  <c:v>25235.9</c:v>
                </c:pt>
                <c:pt idx="56">
                  <c:v>25810.85</c:v>
                </c:pt>
                <c:pt idx="57">
                  <c:v>24205.35</c:v>
                </c:pt>
                <c:pt idx="58">
                  <c:v>24131.1</c:v>
                </c:pt>
                <c:pt idx="59">
                  <c:v>23644.799999999999</c:v>
                </c:pt>
                <c:pt idx="60">
                  <c:v>23508.400000000001</c:v>
                </c:pt>
                <c:pt idx="61">
                  <c:v>22124.7</c:v>
                </c:pt>
                <c:pt idx="62">
                  <c:v>23519.35</c:v>
                </c:pt>
                <c:pt idx="63">
                  <c:v>24334.2</c:v>
                </c:pt>
                <c:pt idx="64">
                  <c:v>24750.7</c:v>
                </c:pt>
                <c:pt idx="65">
                  <c:v>25517.05</c:v>
                </c:pt>
                <c:pt idx="66">
                  <c:v>24768.35</c:v>
                </c:pt>
                <c:pt idx="67">
                  <c:v>24426.85</c:v>
                </c:pt>
                <c:pt idx="68">
                  <c:v>24611.1</c:v>
                </c:pt>
                <c:pt idx="69">
                  <c:v>25722.1</c:v>
                </c:pt>
                <c:pt idx="70">
                  <c:v>26202.95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D-4A21-8672-BA618E6F1B69}"/>
            </c:ext>
          </c:extLst>
        </c:ser>
        <c:ser>
          <c:idx val="1"/>
          <c:order val="1"/>
          <c:tx>
            <c:strRef>
              <c:f>'Moving-Average-Actual-3MA-6MA'!$G$1</c:f>
              <c:strCache>
                <c:ptCount val="1"/>
                <c:pt idx="0">
                  <c:v>Nifty-3MA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'Moving-Average-Actual-3MA-6MA'!$G$2:$G$72</c:f>
              <c:numCache>
                <c:formatCode>0.00</c:formatCode>
                <c:ptCount val="71"/>
                <c:pt idx="2">
                  <c:v>10587.199999999999</c:v>
                </c:pt>
                <c:pt idx="3">
                  <c:v>9886.4666666666672</c:v>
                </c:pt>
                <c:pt idx="4">
                  <c:v>9345.9833333333336</c:v>
                </c:pt>
                <c:pt idx="5">
                  <c:v>9914.0999999999985</c:v>
                </c:pt>
                <c:pt idx="6">
                  <c:v>10318.616666666667</c:v>
                </c:pt>
                <c:pt idx="7">
                  <c:v>10921.016666666668</c:v>
                </c:pt>
                <c:pt idx="8">
                  <c:v>11236.166666666666</c:v>
                </c:pt>
                <c:pt idx="9">
                  <c:v>11425.816666666666</c:v>
                </c:pt>
                <c:pt idx="10">
                  <c:v>11952.966666666665</c:v>
                </c:pt>
                <c:pt idx="11">
                  <c:v>12864.366666666667</c:v>
                </c:pt>
                <c:pt idx="12">
                  <c:v>13528.433333333334</c:v>
                </c:pt>
                <c:pt idx="13">
                  <c:v>14048.5</c:v>
                </c:pt>
                <c:pt idx="14">
                  <c:v>14284.816666666666</c:v>
                </c:pt>
                <c:pt idx="15">
                  <c:v>14616.983333333332</c:v>
                </c:pt>
                <c:pt idx="16">
                  <c:v>14968.200000000003</c:v>
                </c:pt>
                <c:pt idx="17">
                  <c:v>15311.800000000001</c:v>
                </c:pt>
                <c:pt idx="18">
                  <c:v>15689.116666666667</c:v>
                </c:pt>
                <c:pt idx="19">
                  <c:v>16205.583333333334</c:v>
                </c:pt>
                <c:pt idx="20">
                  <c:v>16837.8</c:v>
                </c:pt>
                <c:pt idx="21">
                  <c:v>17474.000000000004</c:v>
                </c:pt>
                <c:pt idx="22">
                  <c:v>17424.333333333332</c:v>
                </c:pt>
                <c:pt idx="23">
                  <c:v>17336.300000000003</c:v>
                </c:pt>
                <c:pt idx="24">
                  <c:v>17225.7</c:v>
                </c:pt>
                <c:pt idx="25">
                  <c:v>17162.599999999999</c:v>
                </c:pt>
                <c:pt idx="26">
                  <c:v>17199.5</c:v>
                </c:pt>
                <c:pt idx="27">
                  <c:v>17120.399999999998</c:v>
                </c:pt>
                <c:pt idx="28">
                  <c:v>17050.616666666669</c:v>
                </c:pt>
                <c:pt idx="29">
                  <c:v>16489.116666666665</c:v>
                </c:pt>
                <c:pt idx="30">
                  <c:v>16507.683333333334</c:v>
                </c:pt>
                <c:pt idx="31">
                  <c:v>16899.266666666666</c:v>
                </c:pt>
                <c:pt idx="32">
                  <c:v>17337.3</c:v>
                </c:pt>
                <c:pt idx="33">
                  <c:v>17621.949999999997</c:v>
                </c:pt>
                <c:pt idx="34">
                  <c:v>17954.966666666667</c:v>
                </c:pt>
                <c:pt idx="35">
                  <c:v>18291.95</c:v>
                </c:pt>
                <c:pt idx="36">
                  <c:v>18175.266666666666</c:v>
                </c:pt>
                <c:pt idx="37">
                  <c:v>17690.466666666664</c:v>
                </c:pt>
                <c:pt idx="38">
                  <c:v>17441.95</c:v>
                </c:pt>
                <c:pt idx="39">
                  <c:v>17576.233333333334</c:v>
                </c:pt>
                <c:pt idx="40">
                  <c:v>17986.383333333335</c:v>
                </c:pt>
                <c:pt idx="41">
                  <c:v>18596.149999999998</c:v>
                </c:pt>
                <c:pt idx="42">
                  <c:v>19159.083333333332</c:v>
                </c:pt>
                <c:pt idx="43">
                  <c:v>19398.883333333331</c:v>
                </c:pt>
                <c:pt idx="44">
                  <c:v>19548.633333333331</c:v>
                </c:pt>
                <c:pt idx="45">
                  <c:v>19323.899999999998</c:v>
                </c:pt>
                <c:pt idx="46">
                  <c:v>19617.016666666666</c:v>
                </c:pt>
                <c:pt idx="47">
                  <c:v>20314.716666666667</c:v>
                </c:pt>
                <c:pt idx="48">
                  <c:v>21196.75</c:v>
                </c:pt>
                <c:pt idx="49">
                  <c:v>21813.300000000003</c:v>
                </c:pt>
                <c:pt idx="50">
                  <c:v>22011.8</c:v>
                </c:pt>
                <c:pt idx="51">
                  <c:v>22304.849999999995</c:v>
                </c:pt>
                <c:pt idx="52">
                  <c:v>22487.483333333334</c:v>
                </c:pt>
                <c:pt idx="53">
                  <c:v>23048.716666666664</c:v>
                </c:pt>
                <c:pt idx="54">
                  <c:v>23830.816666666669</c:v>
                </c:pt>
                <c:pt idx="55">
                  <c:v>24732.55</c:v>
                </c:pt>
                <c:pt idx="56">
                  <c:v>25332.633333333331</c:v>
                </c:pt>
                <c:pt idx="57">
                  <c:v>25084.033333333336</c:v>
                </c:pt>
                <c:pt idx="58">
                  <c:v>24715.766666666663</c:v>
                </c:pt>
                <c:pt idx="59">
                  <c:v>23993.75</c:v>
                </c:pt>
                <c:pt idx="60">
                  <c:v>23761.433333333331</c:v>
                </c:pt>
                <c:pt idx="61">
                  <c:v>23092.633333333331</c:v>
                </c:pt>
                <c:pt idx="62">
                  <c:v>23050.816666666669</c:v>
                </c:pt>
                <c:pt idx="63">
                  <c:v>23326.083333333332</c:v>
                </c:pt>
                <c:pt idx="64">
                  <c:v>24201.416666666668</c:v>
                </c:pt>
                <c:pt idx="65">
                  <c:v>24867.316666666666</c:v>
                </c:pt>
                <c:pt idx="66">
                  <c:v>25012.033333333336</c:v>
                </c:pt>
                <c:pt idx="67">
                  <c:v>24904.083333333332</c:v>
                </c:pt>
                <c:pt idx="68">
                  <c:v>24602.099999999995</c:v>
                </c:pt>
                <c:pt idx="69">
                  <c:v>24920.016666666663</c:v>
                </c:pt>
                <c:pt idx="70">
                  <c:v>25512.05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D-4A21-8672-BA618E6F1B69}"/>
            </c:ext>
          </c:extLst>
        </c:ser>
        <c:ser>
          <c:idx val="2"/>
          <c:order val="2"/>
          <c:tx>
            <c:strRef>
              <c:f>'Moving-Average-Actual-3MA-6MA'!$K$1</c:f>
              <c:strCache>
                <c:ptCount val="1"/>
                <c:pt idx="0">
                  <c:v>Nifty-6MA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'Moving-Average-Actual-3MA-6MA'!$K$2:$K$72</c:f>
              <c:numCache>
                <c:formatCode>0.00</c:formatCode>
                <c:ptCount val="71"/>
                <c:pt idx="5">
                  <c:v>10250.65</c:v>
                </c:pt>
                <c:pt idx="6">
                  <c:v>10102.541666666666</c:v>
                </c:pt>
                <c:pt idx="7">
                  <c:v>10133.5</c:v>
                </c:pt>
                <c:pt idx="8">
                  <c:v>10575.133333333333</c:v>
                </c:pt>
                <c:pt idx="9">
                  <c:v>10872.216666666669</c:v>
                </c:pt>
                <c:pt idx="10">
                  <c:v>11436.991666666669</c:v>
                </c:pt>
                <c:pt idx="11">
                  <c:v>12050.266666666668</c:v>
                </c:pt>
                <c:pt idx="12">
                  <c:v>12477.125</c:v>
                </c:pt>
                <c:pt idx="13">
                  <c:v>13000.733333333332</c:v>
                </c:pt>
                <c:pt idx="14">
                  <c:v>13574.591666666665</c:v>
                </c:pt>
                <c:pt idx="15">
                  <c:v>14072.708333333336</c:v>
                </c:pt>
                <c:pt idx="16">
                  <c:v>14508.35</c:v>
                </c:pt>
                <c:pt idx="17">
                  <c:v>14798.308333333332</c:v>
                </c:pt>
                <c:pt idx="18">
                  <c:v>15153.050000000001</c:v>
                </c:pt>
                <c:pt idx="19">
                  <c:v>15586.891666666668</c:v>
                </c:pt>
                <c:pt idx="20">
                  <c:v>16074.799999999997</c:v>
                </c:pt>
                <c:pt idx="21">
                  <c:v>16581.558333333334</c:v>
                </c:pt>
                <c:pt idx="22">
                  <c:v>16814.958333333332</c:v>
                </c:pt>
                <c:pt idx="23">
                  <c:v>17087.05</c:v>
                </c:pt>
                <c:pt idx="24">
                  <c:v>17349.850000000002</c:v>
                </c:pt>
                <c:pt idx="25">
                  <c:v>17293.466666666664</c:v>
                </c:pt>
                <c:pt idx="26">
                  <c:v>17267.899999999998</c:v>
                </c:pt>
                <c:pt idx="27">
                  <c:v>17173.05</c:v>
                </c:pt>
                <c:pt idx="28">
                  <c:v>17106.608333333334</c:v>
                </c:pt>
                <c:pt idx="29">
                  <c:v>16844.308333333334</c:v>
                </c:pt>
                <c:pt idx="30">
                  <c:v>16814.041666666668</c:v>
                </c:pt>
                <c:pt idx="31">
                  <c:v>16974.941666666669</c:v>
                </c:pt>
                <c:pt idx="32">
                  <c:v>16913.208333333332</c:v>
                </c:pt>
                <c:pt idx="33">
                  <c:v>17064.816666666669</c:v>
                </c:pt>
                <c:pt idx="34">
                  <c:v>17427.116666666665</c:v>
                </c:pt>
                <c:pt idx="35">
                  <c:v>17814.625000000004</c:v>
                </c:pt>
                <c:pt idx="36">
                  <c:v>17898.608333333334</c:v>
                </c:pt>
                <c:pt idx="37">
                  <c:v>17822.716666666667</c:v>
                </c:pt>
                <c:pt idx="38">
                  <c:v>17866.95</c:v>
                </c:pt>
                <c:pt idx="39">
                  <c:v>17875.75</c:v>
                </c:pt>
                <c:pt idx="40">
                  <c:v>17838.424999999999</c:v>
                </c:pt>
                <c:pt idx="41">
                  <c:v>18019.05</c:v>
                </c:pt>
                <c:pt idx="42">
                  <c:v>18367.658333333336</c:v>
                </c:pt>
                <c:pt idx="43">
                  <c:v>18692.633333333335</c:v>
                </c:pt>
                <c:pt idx="44">
                  <c:v>19072.391666666666</c:v>
                </c:pt>
                <c:pt idx="45">
                  <c:v>19241.491666666669</c:v>
                </c:pt>
                <c:pt idx="46">
                  <c:v>19507.949999999997</c:v>
                </c:pt>
                <c:pt idx="47">
                  <c:v>19931.674999999999</c:v>
                </c:pt>
                <c:pt idx="48">
                  <c:v>20260.325000000001</c:v>
                </c:pt>
                <c:pt idx="49">
                  <c:v>20715.158333333333</c:v>
                </c:pt>
                <c:pt idx="50">
                  <c:v>21163.258333333335</c:v>
                </c:pt>
                <c:pt idx="51">
                  <c:v>21750.800000000003</c:v>
                </c:pt>
                <c:pt idx="52">
                  <c:v>22150.391666666674</c:v>
                </c:pt>
                <c:pt idx="53">
                  <c:v>22530.258333333331</c:v>
                </c:pt>
                <c:pt idx="54">
                  <c:v>23067.833333333328</c:v>
                </c:pt>
                <c:pt idx="55">
                  <c:v>23610.016666666663</c:v>
                </c:pt>
                <c:pt idx="56">
                  <c:v>24190.674999999999</c:v>
                </c:pt>
                <c:pt idx="57">
                  <c:v>24457.425000000003</c:v>
                </c:pt>
                <c:pt idx="58">
                  <c:v>24724.158333333336</c:v>
                </c:pt>
                <c:pt idx="59">
                  <c:v>24663.191666666666</c:v>
                </c:pt>
                <c:pt idx="60">
                  <c:v>24422.733333333337</c:v>
                </c:pt>
                <c:pt idx="61">
                  <c:v>23904.2</c:v>
                </c:pt>
                <c:pt idx="62">
                  <c:v>23522.283333333329</c:v>
                </c:pt>
                <c:pt idx="63">
                  <c:v>23543.758333333331</c:v>
                </c:pt>
                <c:pt idx="64">
                  <c:v>23647.024999999998</c:v>
                </c:pt>
                <c:pt idx="65">
                  <c:v>23959.066666666666</c:v>
                </c:pt>
                <c:pt idx="66">
                  <c:v>24169.058333333334</c:v>
                </c:pt>
                <c:pt idx="67">
                  <c:v>24552.75</c:v>
                </c:pt>
                <c:pt idx="68">
                  <c:v>24734.708333333332</c:v>
                </c:pt>
                <c:pt idx="69">
                  <c:v>24966.025000000005</c:v>
                </c:pt>
                <c:pt idx="70">
                  <c:v>25208.066666666669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D-4A21-8672-BA618E6F1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27407"/>
        <c:axId val="142735087"/>
      </c:lineChart>
      <c:catAx>
        <c:axId val="142727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5087"/>
        <c:crosses val="autoZero"/>
        <c:auto val="1"/>
        <c:lblAlgn val="ctr"/>
        <c:lblOffset val="100"/>
        <c:noMultiLvlLbl val="0"/>
      </c:catAx>
      <c:valAx>
        <c:axId val="14273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USDINR</a:t>
            </a:r>
          </a:p>
          <a:p>
            <a:pPr>
              <a:defRPr/>
            </a:pPr>
            <a:r>
              <a:rPr lang="en-IN" sz="1400" b="0" i="0" u="none" strike="noStrike" baseline="0"/>
              <a:t>Actual, 3-Month MA &amp; 6-Month MA (2020–2025)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'Moving-Average-Actual-3MA-6MA'!$D$1</c:f>
              <c:strCache>
                <c:ptCount val="1"/>
                <c:pt idx="0">
                  <c:v>USDINR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'Moving-Average-Actual-3MA-6MA'!$D$2:$D$72</c:f>
              <c:numCache>
                <c:formatCode>0.00</c:formatCode>
                <c:ptCount val="71"/>
                <c:pt idx="0">
                  <c:v>71.540000000000006</c:v>
                </c:pt>
                <c:pt idx="1">
                  <c:v>72.534000000000006</c:v>
                </c:pt>
                <c:pt idx="2">
                  <c:v>75.332999999999998</c:v>
                </c:pt>
                <c:pt idx="3">
                  <c:v>75.076999999999998</c:v>
                </c:pt>
                <c:pt idx="4">
                  <c:v>75.59</c:v>
                </c:pt>
                <c:pt idx="5">
                  <c:v>75.540000000000006</c:v>
                </c:pt>
                <c:pt idx="6">
                  <c:v>74.915999999999997</c:v>
                </c:pt>
                <c:pt idx="7">
                  <c:v>73.254000000000005</c:v>
                </c:pt>
                <c:pt idx="8">
                  <c:v>73.56</c:v>
                </c:pt>
                <c:pt idx="9">
                  <c:v>74.554000000000002</c:v>
                </c:pt>
                <c:pt idx="10">
                  <c:v>73.989999999999995</c:v>
                </c:pt>
                <c:pt idx="11">
                  <c:v>73.036000000000001</c:v>
                </c:pt>
                <c:pt idx="12">
                  <c:v>72.876999999999995</c:v>
                </c:pt>
                <c:pt idx="13">
                  <c:v>73.92</c:v>
                </c:pt>
                <c:pt idx="14">
                  <c:v>73.137</c:v>
                </c:pt>
                <c:pt idx="15">
                  <c:v>74.05</c:v>
                </c:pt>
                <c:pt idx="16">
                  <c:v>72.510999999999996</c:v>
                </c:pt>
                <c:pt idx="17">
                  <c:v>74.36</c:v>
                </c:pt>
                <c:pt idx="18">
                  <c:v>74.337000000000003</c:v>
                </c:pt>
                <c:pt idx="19">
                  <c:v>72.947000000000003</c:v>
                </c:pt>
                <c:pt idx="20">
                  <c:v>74.164000000000001</c:v>
                </c:pt>
                <c:pt idx="21">
                  <c:v>74.915000000000006</c:v>
                </c:pt>
                <c:pt idx="22">
                  <c:v>75.09</c:v>
                </c:pt>
                <c:pt idx="23">
                  <c:v>74.466999999999999</c:v>
                </c:pt>
                <c:pt idx="24">
                  <c:v>74.528999999999996</c:v>
                </c:pt>
                <c:pt idx="25">
                  <c:v>75.492999999999995</c:v>
                </c:pt>
                <c:pt idx="26">
                  <c:v>75.900999999999996</c:v>
                </c:pt>
                <c:pt idx="27">
                  <c:v>76.52</c:v>
                </c:pt>
                <c:pt idx="28">
                  <c:v>77.569000000000003</c:v>
                </c:pt>
                <c:pt idx="29">
                  <c:v>78.95</c:v>
                </c:pt>
                <c:pt idx="30">
                  <c:v>79.335999999999999</c:v>
                </c:pt>
                <c:pt idx="31">
                  <c:v>79.491</c:v>
                </c:pt>
                <c:pt idx="32">
                  <c:v>81.509</c:v>
                </c:pt>
                <c:pt idx="33">
                  <c:v>82.77</c:v>
                </c:pt>
                <c:pt idx="34">
                  <c:v>81.358999999999995</c:v>
                </c:pt>
                <c:pt idx="35">
                  <c:v>82.716999999999999</c:v>
                </c:pt>
                <c:pt idx="36">
                  <c:v>81.739000000000004</c:v>
                </c:pt>
                <c:pt idx="37">
                  <c:v>82.64</c:v>
                </c:pt>
                <c:pt idx="38">
                  <c:v>82.16</c:v>
                </c:pt>
                <c:pt idx="39">
                  <c:v>81.72</c:v>
                </c:pt>
                <c:pt idx="40">
                  <c:v>82.68</c:v>
                </c:pt>
                <c:pt idx="41">
                  <c:v>82.090999999999994</c:v>
                </c:pt>
                <c:pt idx="42">
                  <c:v>82.24</c:v>
                </c:pt>
                <c:pt idx="43">
                  <c:v>82.701999999999998</c:v>
                </c:pt>
                <c:pt idx="44">
                  <c:v>83.03</c:v>
                </c:pt>
                <c:pt idx="45">
                  <c:v>83.256</c:v>
                </c:pt>
                <c:pt idx="46">
                  <c:v>83.356999999999999</c:v>
                </c:pt>
                <c:pt idx="47">
                  <c:v>83.19</c:v>
                </c:pt>
                <c:pt idx="48">
                  <c:v>83.094999999999999</c:v>
                </c:pt>
                <c:pt idx="49">
                  <c:v>82.9</c:v>
                </c:pt>
                <c:pt idx="50">
                  <c:v>83.35</c:v>
                </c:pt>
                <c:pt idx="51">
                  <c:v>83.45</c:v>
                </c:pt>
                <c:pt idx="52">
                  <c:v>83.424000000000007</c:v>
                </c:pt>
                <c:pt idx="53">
                  <c:v>83.355000000000004</c:v>
                </c:pt>
                <c:pt idx="54">
                  <c:v>83.698999999999998</c:v>
                </c:pt>
                <c:pt idx="55">
                  <c:v>83.867000000000004</c:v>
                </c:pt>
                <c:pt idx="56">
                  <c:v>83.754999999999995</c:v>
                </c:pt>
                <c:pt idx="57">
                  <c:v>84.061000000000007</c:v>
                </c:pt>
                <c:pt idx="58">
                  <c:v>84.558999999999997</c:v>
                </c:pt>
                <c:pt idx="59">
                  <c:v>85.554000000000002</c:v>
                </c:pt>
                <c:pt idx="60">
                  <c:v>86.561000000000007</c:v>
                </c:pt>
                <c:pt idx="61">
                  <c:v>87.471000000000004</c:v>
                </c:pt>
                <c:pt idx="62">
                  <c:v>85.46</c:v>
                </c:pt>
                <c:pt idx="63">
                  <c:v>84.599000000000004</c:v>
                </c:pt>
                <c:pt idx="64">
                  <c:v>85.525000000000006</c:v>
                </c:pt>
                <c:pt idx="65">
                  <c:v>85.7</c:v>
                </c:pt>
                <c:pt idx="66">
                  <c:v>87.524000000000001</c:v>
                </c:pt>
                <c:pt idx="67">
                  <c:v>88.174000000000007</c:v>
                </c:pt>
                <c:pt idx="68">
                  <c:v>88.840999999999994</c:v>
                </c:pt>
                <c:pt idx="69">
                  <c:v>88.769000000000005</c:v>
                </c:pt>
                <c:pt idx="70">
                  <c:v>89.356999999999999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9-4CA1-82F1-6D46D96CCFB1}"/>
            </c:ext>
          </c:extLst>
        </c:ser>
        <c:ser>
          <c:idx val="1"/>
          <c:order val="1"/>
          <c:tx>
            <c:strRef>
              <c:f>'Moving-Average-Actual-3MA-6MA'!$H$1</c:f>
              <c:strCache>
                <c:ptCount val="1"/>
                <c:pt idx="0">
                  <c:v>USDINR-3MA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'Moving-Average-Actual-3MA-6MA'!$H$2:$H$72</c:f>
              <c:numCache>
                <c:formatCode>0.00</c:formatCode>
                <c:ptCount val="71"/>
                <c:pt idx="2">
                  <c:v>73.135666666666665</c:v>
                </c:pt>
                <c:pt idx="3">
                  <c:v>74.314666666666668</c:v>
                </c:pt>
                <c:pt idx="4">
                  <c:v>75.333333333333329</c:v>
                </c:pt>
                <c:pt idx="5">
                  <c:v>75.402333333333331</c:v>
                </c:pt>
                <c:pt idx="6">
                  <c:v>75.348666666666659</c:v>
                </c:pt>
                <c:pt idx="7">
                  <c:v>74.570000000000007</c:v>
                </c:pt>
                <c:pt idx="8">
                  <c:v>73.910000000000011</c:v>
                </c:pt>
                <c:pt idx="9">
                  <c:v>73.789333333333346</c:v>
                </c:pt>
                <c:pt idx="10">
                  <c:v>74.034666666666666</c:v>
                </c:pt>
                <c:pt idx="11">
                  <c:v>73.86</c:v>
                </c:pt>
                <c:pt idx="12">
                  <c:v>73.301000000000002</c:v>
                </c:pt>
                <c:pt idx="13">
                  <c:v>73.277666666666676</c:v>
                </c:pt>
                <c:pt idx="14">
                  <c:v>73.311333333333337</c:v>
                </c:pt>
                <c:pt idx="15">
                  <c:v>73.702333333333343</c:v>
                </c:pt>
                <c:pt idx="16">
                  <c:v>73.232666666666674</c:v>
                </c:pt>
                <c:pt idx="17">
                  <c:v>73.640333333333331</c:v>
                </c:pt>
                <c:pt idx="18">
                  <c:v>73.73599999999999</c:v>
                </c:pt>
                <c:pt idx="19">
                  <c:v>73.88133333333333</c:v>
                </c:pt>
                <c:pt idx="20">
                  <c:v>73.815999999999988</c:v>
                </c:pt>
                <c:pt idx="21">
                  <c:v>74.00866666666667</c:v>
                </c:pt>
                <c:pt idx="22">
                  <c:v>74.722999999999999</c:v>
                </c:pt>
                <c:pt idx="23">
                  <c:v>74.823999999999998</c:v>
                </c:pt>
                <c:pt idx="24">
                  <c:v>74.695333333333338</c:v>
                </c:pt>
                <c:pt idx="25">
                  <c:v>74.829666666666654</c:v>
                </c:pt>
                <c:pt idx="26">
                  <c:v>75.307666666666663</c:v>
                </c:pt>
                <c:pt idx="27">
                  <c:v>75.971333333333334</c:v>
                </c:pt>
                <c:pt idx="28">
                  <c:v>76.663333333333341</c:v>
                </c:pt>
                <c:pt idx="29">
                  <c:v>77.679666666666662</c:v>
                </c:pt>
                <c:pt idx="30">
                  <c:v>78.618333333333339</c:v>
                </c:pt>
                <c:pt idx="31">
                  <c:v>79.259</c:v>
                </c:pt>
                <c:pt idx="32">
                  <c:v>80.112000000000009</c:v>
                </c:pt>
                <c:pt idx="33">
                  <c:v>81.256666666666661</c:v>
                </c:pt>
                <c:pt idx="34">
                  <c:v>81.879333333333321</c:v>
                </c:pt>
                <c:pt idx="35">
                  <c:v>82.281999999999996</c:v>
                </c:pt>
                <c:pt idx="36">
                  <c:v>81.938333333333333</c:v>
                </c:pt>
                <c:pt idx="37">
                  <c:v>82.365333333333339</c:v>
                </c:pt>
                <c:pt idx="38">
                  <c:v>82.179666666666677</c:v>
                </c:pt>
                <c:pt idx="39">
                  <c:v>82.173333333333332</c:v>
                </c:pt>
                <c:pt idx="40">
                  <c:v>82.186666666666667</c:v>
                </c:pt>
                <c:pt idx="41">
                  <c:v>82.163666666666657</c:v>
                </c:pt>
                <c:pt idx="42">
                  <c:v>82.337000000000003</c:v>
                </c:pt>
                <c:pt idx="43">
                  <c:v>82.344333333333324</c:v>
                </c:pt>
                <c:pt idx="44">
                  <c:v>82.657333333333341</c:v>
                </c:pt>
                <c:pt idx="45">
                  <c:v>82.995999999999995</c:v>
                </c:pt>
                <c:pt idx="46">
                  <c:v>83.214333333333329</c:v>
                </c:pt>
                <c:pt idx="47">
                  <c:v>83.26766666666667</c:v>
                </c:pt>
                <c:pt idx="48">
                  <c:v>83.213999999999999</c:v>
                </c:pt>
                <c:pt idx="49">
                  <c:v>83.061666666666667</c:v>
                </c:pt>
                <c:pt idx="50">
                  <c:v>83.114999999999995</c:v>
                </c:pt>
                <c:pt idx="51">
                  <c:v>83.233333333333334</c:v>
                </c:pt>
                <c:pt idx="52">
                  <c:v>83.408000000000001</c:v>
                </c:pt>
                <c:pt idx="53">
                  <c:v>83.409666666666681</c:v>
                </c:pt>
                <c:pt idx="54">
                  <c:v>83.492666666666665</c:v>
                </c:pt>
                <c:pt idx="55">
                  <c:v>83.640333333333331</c:v>
                </c:pt>
                <c:pt idx="56">
                  <c:v>83.773666666666671</c:v>
                </c:pt>
                <c:pt idx="57">
                  <c:v>83.894333333333336</c:v>
                </c:pt>
                <c:pt idx="58">
                  <c:v>84.125</c:v>
                </c:pt>
                <c:pt idx="59">
                  <c:v>84.724666666666664</c:v>
                </c:pt>
                <c:pt idx="60">
                  <c:v>85.557999999999993</c:v>
                </c:pt>
                <c:pt idx="61">
                  <c:v>86.528666666666666</c:v>
                </c:pt>
                <c:pt idx="62">
                  <c:v>86.497333333333344</c:v>
                </c:pt>
                <c:pt idx="63">
                  <c:v>85.84333333333332</c:v>
                </c:pt>
                <c:pt idx="64">
                  <c:v>85.194666666666663</c:v>
                </c:pt>
                <c:pt idx="65">
                  <c:v>85.274666666666675</c:v>
                </c:pt>
                <c:pt idx="66">
                  <c:v>86.24966666666667</c:v>
                </c:pt>
                <c:pt idx="67">
                  <c:v>87.13266666666668</c:v>
                </c:pt>
                <c:pt idx="68">
                  <c:v>88.179666666666662</c:v>
                </c:pt>
                <c:pt idx="69">
                  <c:v>88.594666666666669</c:v>
                </c:pt>
                <c:pt idx="70">
                  <c:v>88.98899999999999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9-4CA1-82F1-6D46D96CCFB1}"/>
            </c:ext>
          </c:extLst>
        </c:ser>
        <c:ser>
          <c:idx val="2"/>
          <c:order val="2"/>
          <c:tx>
            <c:strRef>
              <c:f>'Moving-Average-Actual-3MA-6MA'!$L$1</c:f>
              <c:strCache>
                <c:ptCount val="1"/>
                <c:pt idx="0">
                  <c:v>USDINR-6MA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'Moving-Average-Actual-3MA-6MA'!$L$2:$L$72</c:f>
              <c:numCache>
                <c:formatCode>0.00</c:formatCode>
                <c:ptCount val="71"/>
                <c:pt idx="5">
                  <c:v>74.26900000000002</c:v>
                </c:pt>
                <c:pt idx="6">
                  <c:v>74.831666666666663</c:v>
                </c:pt>
                <c:pt idx="7">
                  <c:v>74.951666666666668</c:v>
                </c:pt>
                <c:pt idx="8">
                  <c:v>74.656166666666664</c:v>
                </c:pt>
                <c:pt idx="9">
                  <c:v>74.569000000000003</c:v>
                </c:pt>
                <c:pt idx="10">
                  <c:v>74.302333333333351</c:v>
                </c:pt>
                <c:pt idx="11">
                  <c:v>73.885000000000005</c:v>
                </c:pt>
                <c:pt idx="12">
                  <c:v>73.545166666666674</c:v>
                </c:pt>
                <c:pt idx="13">
                  <c:v>73.656166666666664</c:v>
                </c:pt>
                <c:pt idx="14">
                  <c:v>73.585666666666668</c:v>
                </c:pt>
                <c:pt idx="15">
                  <c:v>73.501666666666679</c:v>
                </c:pt>
                <c:pt idx="16">
                  <c:v>73.255166666666682</c:v>
                </c:pt>
                <c:pt idx="17">
                  <c:v>73.475833333333341</c:v>
                </c:pt>
                <c:pt idx="18">
                  <c:v>73.71916666666668</c:v>
                </c:pt>
                <c:pt idx="19">
                  <c:v>73.557000000000002</c:v>
                </c:pt>
                <c:pt idx="20">
                  <c:v>73.728166666666667</c:v>
                </c:pt>
                <c:pt idx="21">
                  <c:v>73.87233333333333</c:v>
                </c:pt>
                <c:pt idx="22">
                  <c:v>74.302166666666665</c:v>
                </c:pt>
                <c:pt idx="23">
                  <c:v>74.319999999999993</c:v>
                </c:pt>
                <c:pt idx="24">
                  <c:v>74.35199999999999</c:v>
                </c:pt>
                <c:pt idx="25">
                  <c:v>74.776333333333341</c:v>
                </c:pt>
                <c:pt idx="26">
                  <c:v>75.06583333333333</c:v>
                </c:pt>
                <c:pt idx="27">
                  <c:v>75.333333333333329</c:v>
                </c:pt>
                <c:pt idx="28">
                  <c:v>75.746499999999997</c:v>
                </c:pt>
                <c:pt idx="29">
                  <c:v>76.49366666666667</c:v>
                </c:pt>
                <c:pt idx="30">
                  <c:v>77.29483333333333</c:v>
                </c:pt>
                <c:pt idx="31">
                  <c:v>77.961166666666671</c:v>
                </c:pt>
                <c:pt idx="32">
                  <c:v>78.895833333333329</c:v>
                </c:pt>
                <c:pt idx="33">
                  <c:v>79.9375</c:v>
                </c:pt>
                <c:pt idx="34">
                  <c:v>80.569166666666661</c:v>
                </c:pt>
                <c:pt idx="35">
                  <c:v>81.196999999999989</c:v>
                </c:pt>
                <c:pt idx="36">
                  <c:v>81.597499999999982</c:v>
                </c:pt>
                <c:pt idx="37">
                  <c:v>82.122333333333316</c:v>
                </c:pt>
                <c:pt idx="38">
                  <c:v>82.230833333333337</c:v>
                </c:pt>
                <c:pt idx="39">
                  <c:v>82.055833333333339</c:v>
                </c:pt>
                <c:pt idx="40">
                  <c:v>82.275999999999996</c:v>
                </c:pt>
                <c:pt idx="41">
                  <c:v>82.171666666666667</c:v>
                </c:pt>
                <c:pt idx="42">
                  <c:v>82.255166666666682</c:v>
                </c:pt>
                <c:pt idx="43">
                  <c:v>82.265500000000003</c:v>
                </c:pt>
                <c:pt idx="44">
                  <c:v>82.410499999999999</c:v>
                </c:pt>
                <c:pt idx="45">
                  <c:v>82.666499999999999</c:v>
                </c:pt>
                <c:pt idx="46">
                  <c:v>82.779333333333327</c:v>
                </c:pt>
                <c:pt idx="47">
                  <c:v>82.962500000000006</c:v>
                </c:pt>
                <c:pt idx="48">
                  <c:v>83.105000000000004</c:v>
                </c:pt>
                <c:pt idx="49">
                  <c:v>83.137999999999991</c:v>
                </c:pt>
                <c:pt idx="50">
                  <c:v>83.191333333333333</c:v>
                </c:pt>
                <c:pt idx="51">
                  <c:v>83.223666666666674</c:v>
                </c:pt>
                <c:pt idx="52">
                  <c:v>83.234833333333327</c:v>
                </c:pt>
                <c:pt idx="53">
                  <c:v>83.262333333333345</c:v>
                </c:pt>
                <c:pt idx="54">
                  <c:v>83.363000000000014</c:v>
                </c:pt>
                <c:pt idx="55">
                  <c:v>83.524166666666673</c:v>
                </c:pt>
                <c:pt idx="56">
                  <c:v>83.591666666666683</c:v>
                </c:pt>
                <c:pt idx="57">
                  <c:v>83.693500000000014</c:v>
                </c:pt>
                <c:pt idx="58">
                  <c:v>83.882666666666651</c:v>
                </c:pt>
                <c:pt idx="59">
                  <c:v>84.249166666666667</c:v>
                </c:pt>
                <c:pt idx="60">
                  <c:v>84.726166666666686</c:v>
                </c:pt>
                <c:pt idx="61">
                  <c:v>85.32683333333334</c:v>
                </c:pt>
                <c:pt idx="62">
                  <c:v>85.611000000000004</c:v>
                </c:pt>
                <c:pt idx="63">
                  <c:v>85.700666666666663</c:v>
                </c:pt>
                <c:pt idx="64">
                  <c:v>85.861666666666665</c:v>
                </c:pt>
                <c:pt idx="65">
                  <c:v>85.88600000000001</c:v>
                </c:pt>
                <c:pt idx="66">
                  <c:v>86.046499999999995</c:v>
                </c:pt>
                <c:pt idx="67">
                  <c:v>86.163666666666657</c:v>
                </c:pt>
                <c:pt idx="68">
                  <c:v>86.727166666666676</c:v>
                </c:pt>
                <c:pt idx="69">
                  <c:v>87.422166666666669</c:v>
                </c:pt>
                <c:pt idx="70">
                  <c:v>88.060833333333335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C9-4CA1-82F1-6D46D96CC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63071"/>
        <c:axId val="408763551"/>
      </c:lineChart>
      <c:catAx>
        <c:axId val="408763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63551"/>
        <c:crosses val="autoZero"/>
        <c:auto val="1"/>
        <c:lblAlgn val="ctr"/>
        <c:lblOffset val="100"/>
        <c:noMultiLvlLbl val="0"/>
      </c:catAx>
      <c:valAx>
        <c:axId val="4087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6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Relationship between Geopolitical Risk Index (GPR) and Gold Prices (2020–2025)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'Correlation-GPR-Gold'!$B$1</c:f>
              <c:strCache>
                <c:ptCount val="1"/>
                <c:pt idx="0">
                  <c:v>Gold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'Correlation-GPR-Gold'!$A$2:$A$72</c:f>
              <c:numCache>
                <c:formatCode>#,##0.00</c:formatCode>
                <c:ptCount val="71"/>
                <c:pt idx="0">
                  <c:v>138.42094421386719</c:v>
                </c:pt>
                <c:pt idx="1">
                  <c:v>75.955558776855469</c:v>
                </c:pt>
                <c:pt idx="2">
                  <c:v>81.540031433105497</c:v>
                </c:pt>
                <c:pt idx="3">
                  <c:v>69.339401245117188</c:v>
                </c:pt>
                <c:pt idx="4">
                  <c:v>68.507217407226563</c:v>
                </c:pt>
                <c:pt idx="5">
                  <c:v>71.227859497070313</c:v>
                </c:pt>
                <c:pt idx="6">
                  <c:v>66.473281860351563</c:v>
                </c:pt>
                <c:pt idx="7">
                  <c:v>65.466049194335938</c:v>
                </c:pt>
                <c:pt idx="8">
                  <c:v>80.37738037109375</c:v>
                </c:pt>
                <c:pt idx="9">
                  <c:v>76.083168029785156</c:v>
                </c:pt>
                <c:pt idx="10">
                  <c:v>70.067466735839844</c:v>
                </c:pt>
                <c:pt idx="11">
                  <c:v>64.067291259765625</c:v>
                </c:pt>
                <c:pt idx="12">
                  <c:v>77.418701171875</c:v>
                </c:pt>
                <c:pt idx="13">
                  <c:v>73.956802368164063</c:v>
                </c:pt>
                <c:pt idx="14">
                  <c:v>78.618766784667969</c:v>
                </c:pt>
                <c:pt idx="15">
                  <c:v>88.166221618652344</c:v>
                </c:pt>
                <c:pt idx="16">
                  <c:v>93.007133483886719</c:v>
                </c:pt>
                <c:pt idx="17">
                  <c:v>74.127120971679688</c:v>
                </c:pt>
                <c:pt idx="18">
                  <c:v>58.420768737792969</c:v>
                </c:pt>
                <c:pt idx="19">
                  <c:v>89.486549377441406</c:v>
                </c:pt>
                <c:pt idx="20">
                  <c:v>80.696968078613281</c:v>
                </c:pt>
                <c:pt idx="21">
                  <c:v>79.02923583984375</c:v>
                </c:pt>
                <c:pt idx="22">
                  <c:v>86.569145202636719</c:v>
                </c:pt>
                <c:pt idx="23">
                  <c:v>105.34542083740234</c:v>
                </c:pt>
                <c:pt idx="24">
                  <c:v>138.67498779296875</c:v>
                </c:pt>
                <c:pt idx="25">
                  <c:v>216.15901184082031</c:v>
                </c:pt>
                <c:pt idx="26">
                  <c:v>318.95492553710938</c:v>
                </c:pt>
                <c:pt idx="27">
                  <c:v>191.14309692382813</c:v>
                </c:pt>
                <c:pt idx="28">
                  <c:v>142.25848388671875</c:v>
                </c:pt>
                <c:pt idx="29">
                  <c:v>130.70732116699219</c:v>
                </c:pt>
                <c:pt idx="30">
                  <c:v>117.17676544189453</c:v>
                </c:pt>
                <c:pt idx="31">
                  <c:v>132.86322021484375</c:v>
                </c:pt>
                <c:pt idx="32">
                  <c:v>131.98587036132813</c:v>
                </c:pt>
                <c:pt idx="33">
                  <c:v>143.16241455078125</c:v>
                </c:pt>
                <c:pt idx="34">
                  <c:v>116.71628570556641</c:v>
                </c:pt>
                <c:pt idx="35">
                  <c:v>111.19593811035156</c:v>
                </c:pt>
                <c:pt idx="36">
                  <c:v>104.26704406738281</c:v>
                </c:pt>
                <c:pt idx="37">
                  <c:v>120.99437713623047</c:v>
                </c:pt>
                <c:pt idx="38">
                  <c:v>105.37997436523438</c:v>
                </c:pt>
                <c:pt idx="39">
                  <c:v>106.80965423583984</c:v>
                </c:pt>
                <c:pt idx="40">
                  <c:v>108.46768188476563</c:v>
                </c:pt>
                <c:pt idx="41">
                  <c:v>110.52894592285156</c:v>
                </c:pt>
                <c:pt idx="42">
                  <c:v>107.44878387451172</c:v>
                </c:pt>
                <c:pt idx="43">
                  <c:v>101.14118194580078</c:v>
                </c:pt>
                <c:pt idx="44">
                  <c:v>98.634811401367188</c:v>
                </c:pt>
                <c:pt idx="45">
                  <c:v>197.88700866699219</c:v>
                </c:pt>
                <c:pt idx="46">
                  <c:v>156.69613647460938</c:v>
                </c:pt>
                <c:pt idx="47">
                  <c:v>142.27946472167969</c:v>
                </c:pt>
                <c:pt idx="48">
                  <c:v>160.3736572265625</c:v>
                </c:pt>
                <c:pt idx="49">
                  <c:v>146.59817504882813</c:v>
                </c:pt>
                <c:pt idx="50">
                  <c:v>133.21316528320313</c:v>
                </c:pt>
                <c:pt idx="51">
                  <c:v>163.94734191894531</c:v>
                </c:pt>
                <c:pt idx="52">
                  <c:v>130.52186584472656</c:v>
                </c:pt>
                <c:pt idx="53">
                  <c:v>113.09279632568359</c:v>
                </c:pt>
                <c:pt idx="54">
                  <c:v>92.394874572753906</c:v>
                </c:pt>
                <c:pt idx="55">
                  <c:v>140.97506713867188</c:v>
                </c:pt>
                <c:pt idx="56">
                  <c:v>130.35877990722656</c:v>
                </c:pt>
                <c:pt idx="57">
                  <c:v>130.689208984375</c:v>
                </c:pt>
                <c:pt idx="58">
                  <c:v>128.90164184570313</c:v>
                </c:pt>
                <c:pt idx="59">
                  <c:v>142.36643981933594</c:v>
                </c:pt>
                <c:pt idx="60">
                  <c:v>112.33326721191406</c:v>
                </c:pt>
                <c:pt idx="61">
                  <c:v>136.42637634277344</c:v>
                </c:pt>
                <c:pt idx="62">
                  <c:v>175.44340515136719</c:v>
                </c:pt>
                <c:pt idx="63">
                  <c:v>139.71894836425781</c:v>
                </c:pt>
                <c:pt idx="64">
                  <c:v>165.81121826171875</c:v>
                </c:pt>
                <c:pt idx="65">
                  <c:v>222.19857788085938</c:v>
                </c:pt>
                <c:pt idx="66">
                  <c:v>134.79460144042969</c:v>
                </c:pt>
                <c:pt idx="67">
                  <c:v>136.74961853027344</c:v>
                </c:pt>
                <c:pt idx="68">
                  <c:v>124.10614776611328</c:v>
                </c:pt>
                <c:pt idx="69">
                  <c:v>154.43557739257813</c:v>
                </c:pt>
                <c:pt idx="70">
                  <c:v>99.912399291992188</c:v>
                </c:pt>
              </c:numCache>
            </c:numRef>
          </c:xVal>
          <c:yVal>
            <c:numRef>
              <c:f>'Correlation-GPR-Gold'!$B$2:$B$72</c:f>
              <c:numCache>
                <c:formatCode>0.00</c:formatCode>
                <c:ptCount val="71"/>
                <c:pt idx="0">
                  <c:v>39991.54017</c:v>
                </c:pt>
                <c:pt idx="1">
                  <c:v>41196.719270000001</c:v>
                </c:pt>
                <c:pt idx="2">
                  <c:v>41726.918879999997</c:v>
                </c:pt>
                <c:pt idx="3">
                  <c:v>40988.969429999997</c:v>
                </c:pt>
                <c:pt idx="4">
                  <c:v>40988.969429999997</c:v>
                </c:pt>
                <c:pt idx="5">
                  <c:v>46781.285109999997</c:v>
                </c:pt>
                <c:pt idx="6">
                  <c:v>49912.79277</c:v>
                </c:pt>
                <c:pt idx="7">
                  <c:v>53038.150439999998</c:v>
                </c:pt>
                <c:pt idx="8">
                  <c:v>50901.282030000002</c:v>
                </c:pt>
                <c:pt idx="9">
                  <c:v>50715.532169999999</c:v>
                </c:pt>
                <c:pt idx="10">
                  <c:v>50407.232400000001</c:v>
                </c:pt>
                <c:pt idx="11">
                  <c:v>49467.413099999998</c:v>
                </c:pt>
                <c:pt idx="12">
                  <c:v>49639.122969999997</c:v>
                </c:pt>
                <c:pt idx="13">
                  <c:v>47141.514840000003</c:v>
                </c:pt>
                <c:pt idx="14">
                  <c:v>44649.4467</c:v>
                </c:pt>
                <c:pt idx="15">
                  <c:v>46724.255149999997</c:v>
                </c:pt>
                <c:pt idx="16">
                  <c:v>47889.444280000003</c:v>
                </c:pt>
                <c:pt idx="17">
                  <c:v>47902.914270000001</c:v>
                </c:pt>
                <c:pt idx="18">
                  <c:v>47791.964350000002</c:v>
                </c:pt>
                <c:pt idx="19">
                  <c:v>47097.604870000003</c:v>
                </c:pt>
                <c:pt idx="20">
                  <c:v>46589.055249999998</c:v>
                </c:pt>
                <c:pt idx="21">
                  <c:v>47251.584759999998</c:v>
                </c:pt>
                <c:pt idx="22">
                  <c:v>48162.914080000002</c:v>
                </c:pt>
                <c:pt idx="23">
                  <c:v>47900.134270000002</c:v>
                </c:pt>
                <c:pt idx="24">
                  <c:v>47983.414210000003</c:v>
                </c:pt>
                <c:pt idx="25">
                  <c:v>49279.413240000002</c:v>
                </c:pt>
                <c:pt idx="26">
                  <c:v>51672.351459999998</c:v>
                </c:pt>
                <c:pt idx="27">
                  <c:v>52057.861169999996</c:v>
                </c:pt>
                <c:pt idx="28">
                  <c:v>50887.232040000003</c:v>
                </c:pt>
                <c:pt idx="29">
                  <c:v>50808.822099999998</c:v>
                </c:pt>
                <c:pt idx="30">
                  <c:v>50752.962140000003</c:v>
                </c:pt>
                <c:pt idx="31">
                  <c:v>51635.051489999998</c:v>
                </c:pt>
                <c:pt idx="32">
                  <c:v>49957.012739999998</c:v>
                </c:pt>
                <c:pt idx="33">
                  <c:v>50372.482429999996</c:v>
                </c:pt>
                <c:pt idx="34">
                  <c:v>51843.821329999999</c:v>
                </c:pt>
                <c:pt idx="35">
                  <c:v>53928.689769999997</c:v>
                </c:pt>
                <c:pt idx="36">
                  <c:v>56221.668060000004</c:v>
                </c:pt>
                <c:pt idx="37">
                  <c:v>56655.057739999997</c:v>
                </c:pt>
                <c:pt idx="38">
                  <c:v>57577.527049999997</c:v>
                </c:pt>
                <c:pt idx="39">
                  <c:v>60128.425150000003</c:v>
                </c:pt>
                <c:pt idx="40">
                  <c:v>60551.864829999999</c:v>
                </c:pt>
                <c:pt idx="41">
                  <c:v>59023.005969999998</c:v>
                </c:pt>
                <c:pt idx="42">
                  <c:v>58937.056040000003</c:v>
                </c:pt>
                <c:pt idx="43">
                  <c:v>58722.136200000001</c:v>
                </c:pt>
                <c:pt idx="44">
                  <c:v>58785.386149999998</c:v>
                </c:pt>
                <c:pt idx="45">
                  <c:v>58852.666100000002</c:v>
                </c:pt>
                <c:pt idx="46">
                  <c:v>60769.274669999999</c:v>
                </c:pt>
                <c:pt idx="47">
                  <c:v>62218.703589999997</c:v>
                </c:pt>
                <c:pt idx="48">
                  <c:v>62336.273500000003</c:v>
                </c:pt>
                <c:pt idx="49">
                  <c:v>62030.713730000003</c:v>
                </c:pt>
                <c:pt idx="50">
                  <c:v>65305.701289999997</c:v>
                </c:pt>
                <c:pt idx="51">
                  <c:v>71481.626680000001</c:v>
                </c:pt>
                <c:pt idx="52">
                  <c:v>72180.336160000006</c:v>
                </c:pt>
                <c:pt idx="53">
                  <c:v>71545.746629999994</c:v>
                </c:pt>
                <c:pt idx="54">
                  <c:v>71379.59676</c:v>
                </c:pt>
                <c:pt idx="55">
                  <c:v>70380.707500000004</c:v>
                </c:pt>
                <c:pt idx="56">
                  <c:v>72882.655639999997</c:v>
                </c:pt>
                <c:pt idx="57">
                  <c:v>76706.532779999994</c:v>
                </c:pt>
                <c:pt idx="58">
                  <c:v>76268.423110000003</c:v>
                </c:pt>
                <c:pt idx="59">
                  <c:v>76219.373149999999</c:v>
                </c:pt>
                <c:pt idx="60">
                  <c:v>78634.771349999995</c:v>
                </c:pt>
                <c:pt idx="61">
                  <c:v>85081.936539999995</c:v>
                </c:pt>
                <c:pt idx="62">
                  <c:v>86940.885150000002</c:v>
                </c:pt>
                <c:pt idx="63">
                  <c:v>92838.260750000001</c:v>
                </c:pt>
                <c:pt idx="64">
                  <c:v>94645.979399999997</c:v>
                </c:pt>
                <c:pt idx="65">
                  <c:v>97154.497529999993</c:v>
                </c:pt>
                <c:pt idx="66">
                  <c:v>97560.407229999997</c:v>
                </c:pt>
                <c:pt idx="67">
                  <c:v>99704.675629999998</c:v>
                </c:pt>
                <c:pt idx="68">
                  <c:v>109576.0583</c:v>
                </c:pt>
                <c:pt idx="69">
                  <c:v>122815.22840000001</c:v>
                </c:pt>
                <c:pt idx="70">
                  <c:v>122847.55839999999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28-4BE7-8C7C-BB1F0B76B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48527"/>
        <c:axId val="142746127"/>
      </c:scatterChart>
      <c:valAx>
        <c:axId val="14274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GPR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6127"/>
        <c:crosses val="autoZero"/>
        <c:crossBetween val="midCat"/>
      </c:valAx>
      <c:valAx>
        <c:axId val="1427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Gold Price (INR per 10 grams)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4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Relationship between Geopolitical Risk Index (GPR) and Nifty Prices (2020–2025)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'Correlation-GPR-Nifty'!$B$1</c:f>
              <c:strCache>
                <c:ptCount val="1"/>
                <c:pt idx="0">
                  <c:v>Nifty 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'Correlation-GPR-Nifty'!$A$2:$A$72</c:f>
              <c:numCache>
                <c:formatCode>#,##0.00</c:formatCode>
                <c:ptCount val="71"/>
                <c:pt idx="0">
                  <c:v>138.42094421386719</c:v>
                </c:pt>
                <c:pt idx="1">
                  <c:v>75.955558776855469</c:v>
                </c:pt>
                <c:pt idx="2">
                  <c:v>81.540031433105497</c:v>
                </c:pt>
                <c:pt idx="3">
                  <c:v>69.339401245117188</c:v>
                </c:pt>
                <c:pt idx="4">
                  <c:v>68.507217407226563</c:v>
                </c:pt>
                <c:pt idx="5">
                  <c:v>71.227859497070313</c:v>
                </c:pt>
                <c:pt idx="6">
                  <c:v>66.473281860351563</c:v>
                </c:pt>
                <c:pt idx="7">
                  <c:v>65.466049194335938</c:v>
                </c:pt>
                <c:pt idx="8">
                  <c:v>80.37738037109375</c:v>
                </c:pt>
                <c:pt idx="9">
                  <c:v>76.083168029785156</c:v>
                </c:pt>
                <c:pt idx="10">
                  <c:v>70.067466735839844</c:v>
                </c:pt>
                <c:pt idx="11">
                  <c:v>64.067291259765625</c:v>
                </c:pt>
                <c:pt idx="12">
                  <c:v>77.418701171875</c:v>
                </c:pt>
                <c:pt idx="13">
                  <c:v>73.956802368164063</c:v>
                </c:pt>
                <c:pt idx="14">
                  <c:v>78.618766784667969</c:v>
                </c:pt>
                <c:pt idx="15">
                  <c:v>88.166221618652344</c:v>
                </c:pt>
                <c:pt idx="16">
                  <c:v>93.007133483886719</c:v>
                </c:pt>
                <c:pt idx="17">
                  <c:v>74.127120971679688</c:v>
                </c:pt>
                <c:pt idx="18">
                  <c:v>58.420768737792969</c:v>
                </c:pt>
                <c:pt idx="19">
                  <c:v>89.486549377441406</c:v>
                </c:pt>
                <c:pt idx="20">
                  <c:v>80.696968078613281</c:v>
                </c:pt>
                <c:pt idx="21">
                  <c:v>79.02923583984375</c:v>
                </c:pt>
                <c:pt idx="22">
                  <c:v>86.569145202636719</c:v>
                </c:pt>
                <c:pt idx="23">
                  <c:v>105.34542083740234</c:v>
                </c:pt>
                <c:pt idx="24">
                  <c:v>138.67498779296875</c:v>
                </c:pt>
                <c:pt idx="25">
                  <c:v>216.15901184082031</c:v>
                </c:pt>
                <c:pt idx="26">
                  <c:v>318.95492553710938</c:v>
                </c:pt>
                <c:pt idx="27">
                  <c:v>191.14309692382813</c:v>
                </c:pt>
                <c:pt idx="28">
                  <c:v>142.25848388671875</c:v>
                </c:pt>
                <c:pt idx="29">
                  <c:v>130.70732116699219</c:v>
                </c:pt>
                <c:pt idx="30">
                  <c:v>117.17676544189453</c:v>
                </c:pt>
                <c:pt idx="31">
                  <c:v>132.86322021484375</c:v>
                </c:pt>
                <c:pt idx="32">
                  <c:v>131.98587036132813</c:v>
                </c:pt>
                <c:pt idx="33">
                  <c:v>143.16241455078125</c:v>
                </c:pt>
                <c:pt idx="34">
                  <c:v>116.71628570556641</c:v>
                </c:pt>
                <c:pt idx="35">
                  <c:v>111.19593811035156</c:v>
                </c:pt>
                <c:pt idx="36">
                  <c:v>104.26704406738281</c:v>
                </c:pt>
                <c:pt idx="37">
                  <c:v>120.99437713623047</c:v>
                </c:pt>
                <c:pt idx="38">
                  <c:v>105.37997436523438</c:v>
                </c:pt>
                <c:pt idx="39">
                  <c:v>106.80965423583984</c:v>
                </c:pt>
                <c:pt idx="40">
                  <c:v>108.46768188476563</c:v>
                </c:pt>
                <c:pt idx="41">
                  <c:v>110.52894592285156</c:v>
                </c:pt>
                <c:pt idx="42">
                  <c:v>107.44878387451172</c:v>
                </c:pt>
                <c:pt idx="43">
                  <c:v>101.14118194580078</c:v>
                </c:pt>
                <c:pt idx="44">
                  <c:v>98.634811401367188</c:v>
                </c:pt>
                <c:pt idx="45">
                  <c:v>197.88700866699219</c:v>
                </c:pt>
                <c:pt idx="46">
                  <c:v>156.69613647460938</c:v>
                </c:pt>
                <c:pt idx="47">
                  <c:v>142.27946472167969</c:v>
                </c:pt>
                <c:pt idx="48">
                  <c:v>160.3736572265625</c:v>
                </c:pt>
                <c:pt idx="49">
                  <c:v>146.59817504882813</c:v>
                </c:pt>
                <c:pt idx="50">
                  <c:v>133.21316528320313</c:v>
                </c:pt>
                <c:pt idx="51">
                  <c:v>163.94734191894531</c:v>
                </c:pt>
                <c:pt idx="52">
                  <c:v>130.52186584472656</c:v>
                </c:pt>
                <c:pt idx="53">
                  <c:v>113.09279632568359</c:v>
                </c:pt>
                <c:pt idx="54">
                  <c:v>92.394874572753906</c:v>
                </c:pt>
                <c:pt idx="55">
                  <c:v>140.97506713867188</c:v>
                </c:pt>
                <c:pt idx="56">
                  <c:v>130.35877990722656</c:v>
                </c:pt>
                <c:pt idx="57">
                  <c:v>130.689208984375</c:v>
                </c:pt>
                <c:pt idx="58">
                  <c:v>128.90164184570313</c:v>
                </c:pt>
                <c:pt idx="59">
                  <c:v>142.36643981933594</c:v>
                </c:pt>
                <c:pt idx="60">
                  <c:v>112.33326721191406</c:v>
                </c:pt>
                <c:pt idx="61">
                  <c:v>136.42637634277344</c:v>
                </c:pt>
                <c:pt idx="62">
                  <c:v>175.44340515136719</c:v>
                </c:pt>
                <c:pt idx="63">
                  <c:v>139.71894836425781</c:v>
                </c:pt>
                <c:pt idx="64">
                  <c:v>165.81121826171875</c:v>
                </c:pt>
                <c:pt idx="65">
                  <c:v>222.19857788085938</c:v>
                </c:pt>
                <c:pt idx="66">
                  <c:v>134.79460144042969</c:v>
                </c:pt>
                <c:pt idx="67">
                  <c:v>136.74961853027344</c:v>
                </c:pt>
                <c:pt idx="68">
                  <c:v>124.10614776611328</c:v>
                </c:pt>
                <c:pt idx="69">
                  <c:v>154.43557739257813</c:v>
                </c:pt>
                <c:pt idx="70">
                  <c:v>99.912399291992188</c:v>
                </c:pt>
              </c:numCache>
            </c:numRef>
          </c:xVal>
          <c:yVal>
            <c:numRef>
              <c:f>'Correlation-GPR-Nifty'!$B$2:$B$72</c:f>
              <c:numCache>
                <c:formatCode>0.00</c:formatCode>
                <c:ptCount val="71"/>
                <c:pt idx="0">
                  <c:v>11962.1</c:v>
                </c:pt>
                <c:pt idx="1">
                  <c:v>11201.75</c:v>
                </c:pt>
                <c:pt idx="2">
                  <c:v>8597.75</c:v>
                </c:pt>
                <c:pt idx="3">
                  <c:v>9859.9</c:v>
                </c:pt>
                <c:pt idx="4">
                  <c:v>9580.2999999999993</c:v>
                </c:pt>
                <c:pt idx="5">
                  <c:v>10302.1</c:v>
                </c:pt>
                <c:pt idx="6">
                  <c:v>11073.45</c:v>
                </c:pt>
                <c:pt idx="7">
                  <c:v>11387.5</c:v>
                </c:pt>
                <c:pt idx="8">
                  <c:v>11247.55</c:v>
                </c:pt>
                <c:pt idx="9">
                  <c:v>11642.4</c:v>
                </c:pt>
                <c:pt idx="10">
                  <c:v>12968.95</c:v>
                </c:pt>
                <c:pt idx="11">
                  <c:v>13981.75</c:v>
                </c:pt>
                <c:pt idx="12">
                  <c:v>13634.6</c:v>
                </c:pt>
                <c:pt idx="13">
                  <c:v>14529.15</c:v>
                </c:pt>
                <c:pt idx="14">
                  <c:v>14690.7</c:v>
                </c:pt>
                <c:pt idx="15">
                  <c:v>14631.1</c:v>
                </c:pt>
                <c:pt idx="16">
                  <c:v>15582.8</c:v>
                </c:pt>
                <c:pt idx="17">
                  <c:v>15721.5</c:v>
                </c:pt>
                <c:pt idx="18">
                  <c:v>15763.05</c:v>
                </c:pt>
                <c:pt idx="19">
                  <c:v>17132.2</c:v>
                </c:pt>
                <c:pt idx="20">
                  <c:v>17618.150000000001</c:v>
                </c:pt>
                <c:pt idx="21">
                  <c:v>17671.650000000001</c:v>
                </c:pt>
                <c:pt idx="22">
                  <c:v>16983.2</c:v>
                </c:pt>
                <c:pt idx="23">
                  <c:v>17354.05</c:v>
                </c:pt>
                <c:pt idx="24">
                  <c:v>17339.849999999999</c:v>
                </c:pt>
                <c:pt idx="25">
                  <c:v>16793.900000000001</c:v>
                </c:pt>
                <c:pt idx="26">
                  <c:v>17464.75</c:v>
                </c:pt>
                <c:pt idx="27">
                  <c:v>17102.55</c:v>
                </c:pt>
                <c:pt idx="28">
                  <c:v>16584.55</c:v>
                </c:pt>
                <c:pt idx="29">
                  <c:v>15780.25</c:v>
                </c:pt>
                <c:pt idx="30">
                  <c:v>17158.25</c:v>
                </c:pt>
                <c:pt idx="31">
                  <c:v>17759.3</c:v>
                </c:pt>
                <c:pt idx="32">
                  <c:v>17094.349999999999</c:v>
                </c:pt>
                <c:pt idx="33">
                  <c:v>18012.2</c:v>
                </c:pt>
                <c:pt idx="34">
                  <c:v>18758.349999999999</c:v>
                </c:pt>
                <c:pt idx="35">
                  <c:v>18105.3</c:v>
                </c:pt>
                <c:pt idx="36">
                  <c:v>17662.150000000001</c:v>
                </c:pt>
                <c:pt idx="37">
                  <c:v>17303.95</c:v>
                </c:pt>
                <c:pt idx="38">
                  <c:v>17359.75</c:v>
                </c:pt>
                <c:pt idx="39">
                  <c:v>18065</c:v>
                </c:pt>
                <c:pt idx="40">
                  <c:v>18534.400000000001</c:v>
                </c:pt>
                <c:pt idx="41">
                  <c:v>19189.05</c:v>
                </c:pt>
                <c:pt idx="42">
                  <c:v>19753.8</c:v>
                </c:pt>
                <c:pt idx="43">
                  <c:v>19253.8</c:v>
                </c:pt>
                <c:pt idx="44">
                  <c:v>19638.3</c:v>
                </c:pt>
                <c:pt idx="45">
                  <c:v>19079.599999999999</c:v>
                </c:pt>
                <c:pt idx="46">
                  <c:v>20133.150000000001</c:v>
                </c:pt>
                <c:pt idx="47">
                  <c:v>21731.4</c:v>
                </c:pt>
                <c:pt idx="48">
                  <c:v>21725.7</c:v>
                </c:pt>
                <c:pt idx="49">
                  <c:v>21982.799999999999</c:v>
                </c:pt>
                <c:pt idx="50">
                  <c:v>22326.9</c:v>
                </c:pt>
                <c:pt idx="51">
                  <c:v>22604.85</c:v>
                </c:pt>
                <c:pt idx="52">
                  <c:v>22530.7</c:v>
                </c:pt>
                <c:pt idx="53">
                  <c:v>24010.6</c:v>
                </c:pt>
                <c:pt idx="54">
                  <c:v>24951.15</c:v>
                </c:pt>
                <c:pt idx="55">
                  <c:v>25235.9</c:v>
                </c:pt>
                <c:pt idx="56">
                  <c:v>25810.85</c:v>
                </c:pt>
                <c:pt idx="57">
                  <c:v>24205.35</c:v>
                </c:pt>
                <c:pt idx="58">
                  <c:v>24131.1</c:v>
                </c:pt>
                <c:pt idx="59">
                  <c:v>23644.799999999999</c:v>
                </c:pt>
                <c:pt idx="60">
                  <c:v>23508.400000000001</c:v>
                </c:pt>
                <c:pt idx="61">
                  <c:v>22124.7</c:v>
                </c:pt>
                <c:pt idx="62">
                  <c:v>23519.35</c:v>
                </c:pt>
                <c:pt idx="63">
                  <c:v>24334.2</c:v>
                </c:pt>
                <c:pt idx="64">
                  <c:v>24750.7</c:v>
                </c:pt>
                <c:pt idx="65">
                  <c:v>25517.05</c:v>
                </c:pt>
                <c:pt idx="66">
                  <c:v>24768.35</c:v>
                </c:pt>
                <c:pt idx="67">
                  <c:v>24426.85</c:v>
                </c:pt>
                <c:pt idx="68">
                  <c:v>24611.1</c:v>
                </c:pt>
                <c:pt idx="69">
                  <c:v>25722.1</c:v>
                </c:pt>
                <c:pt idx="70">
                  <c:v>26202.95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1-45ED-8A12-4F945B7ED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98223"/>
        <c:axId val="144987663"/>
      </c:scatterChart>
      <c:valAx>
        <c:axId val="14499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7663"/>
        <c:crosses val="autoZero"/>
        <c:crossBetween val="midCat"/>
      </c:valAx>
      <c:valAx>
        <c:axId val="1449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Nifty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9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Relationship between Geopolitical Risk Index (GPR) and USD-INR Exchange Rate(2020–2025)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'Correlation-GPR-USDINR'!$B$1</c:f>
              <c:strCache>
                <c:ptCount val="1"/>
                <c:pt idx="0">
                  <c:v>USDINR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'Correlation-GPR-USDINR'!$A$2:$A$72</c:f>
              <c:numCache>
                <c:formatCode>#,##0.00</c:formatCode>
                <c:ptCount val="71"/>
                <c:pt idx="0">
                  <c:v>138.42094421386719</c:v>
                </c:pt>
                <c:pt idx="1">
                  <c:v>75.955558776855469</c:v>
                </c:pt>
                <c:pt idx="2">
                  <c:v>81.540031433105497</c:v>
                </c:pt>
                <c:pt idx="3">
                  <c:v>69.339401245117188</c:v>
                </c:pt>
                <c:pt idx="4">
                  <c:v>68.507217407226563</c:v>
                </c:pt>
                <c:pt idx="5">
                  <c:v>71.227859497070313</c:v>
                </c:pt>
                <c:pt idx="6">
                  <c:v>66.473281860351563</c:v>
                </c:pt>
                <c:pt idx="7">
                  <c:v>65.466049194335938</c:v>
                </c:pt>
                <c:pt idx="8">
                  <c:v>80.37738037109375</c:v>
                </c:pt>
                <c:pt idx="9">
                  <c:v>76.083168029785156</c:v>
                </c:pt>
                <c:pt idx="10">
                  <c:v>70.067466735839844</c:v>
                </c:pt>
                <c:pt idx="11">
                  <c:v>64.067291259765625</c:v>
                </c:pt>
                <c:pt idx="12">
                  <c:v>77.418701171875</c:v>
                </c:pt>
                <c:pt idx="13">
                  <c:v>73.956802368164063</c:v>
                </c:pt>
                <c:pt idx="14">
                  <c:v>78.618766784667969</c:v>
                </c:pt>
                <c:pt idx="15">
                  <c:v>88.166221618652344</c:v>
                </c:pt>
                <c:pt idx="16">
                  <c:v>93.007133483886719</c:v>
                </c:pt>
                <c:pt idx="17">
                  <c:v>74.127120971679688</c:v>
                </c:pt>
                <c:pt idx="18">
                  <c:v>58.420768737792969</c:v>
                </c:pt>
                <c:pt idx="19">
                  <c:v>89.486549377441406</c:v>
                </c:pt>
                <c:pt idx="20">
                  <c:v>80.696968078613281</c:v>
                </c:pt>
                <c:pt idx="21">
                  <c:v>79.02923583984375</c:v>
                </c:pt>
                <c:pt idx="22">
                  <c:v>86.569145202636719</c:v>
                </c:pt>
                <c:pt idx="23">
                  <c:v>105.34542083740234</c:v>
                </c:pt>
                <c:pt idx="24">
                  <c:v>138.67498779296875</c:v>
                </c:pt>
                <c:pt idx="25">
                  <c:v>216.15901184082031</c:v>
                </c:pt>
                <c:pt idx="26">
                  <c:v>318.95492553710938</c:v>
                </c:pt>
                <c:pt idx="27">
                  <c:v>191.14309692382813</c:v>
                </c:pt>
                <c:pt idx="28">
                  <c:v>142.25848388671875</c:v>
                </c:pt>
                <c:pt idx="29">
                  <c:v>130.70732116699219</c:v>
                </c:pt>
                <c:pt idx="30">
                  <c:v>117.17676544189453</c:v>
                </c:pt>
                <c:pt idx="31">
                  <c:v>132.86322021484375</c:v>
                </c:pt>
                <c:pt idx="32">
                  <c:v>131.98587036132813</c:v>
                </c:pt>
                <c:pt idx="33">
                  <c:v>143.16241455078125</c:v>
                </c:pt>
                <c:pt idx="34">
                  <c:v>116.71628570556641</c:v>
                </c:pt>
                <c:pt idx="35">
                  <c:v>111.19593811035156</c:v>
                </c:pt>
                <c:pt idx="36">
                  <c:v>104.26704406738281</c:v>
                </c:pt>
                <c:pt idx="37">
                  <c:v>120.99437713623047</c:v>
                </c:pt>
                <c:pt idx="38">
                  <c:v>105.37997436523438</c:v>
                </c:pt>
                <c:pt idx="39">
                  <c:v>106.80965423583984</c:v>
                </c:pt>
                <c:pt idx="40">
                  <c:v>108.46768188476563</c:v>
                </c:pt>
                <c:pt idx="41">
                  <c:v>110.52894592285156</c:v>
                </c:pt>
                <c:pt idx="42">
                  <c:v>107.44878387451172</c:v>
                </c:pt>
                <c:pt idx="43">
                  <c:v>101.14118194580078</c:v>
                </c:pt>
                <c:pt idx="44">
                  <c:v>98.634811401367188</c:v>
                </c:pt>
                <c:pt idx="45">
                  <c:v>197.88700866699219</c:v>
                </c:pt>
                <c:pt idx="46">
                  <c:v>156.69613647460938</c:v>
                </c:pt>
                <c:pt idx="47">
                  <c:v>142.27946472167969</c:v>
                </c:pt>
                <c:pt idx="48">
                  <c:v>160.3736572265625</c:v>
                </c:pt>
                <c:pt idx="49">
                  <c:v>146.59817504882813</c:v>
                </c:pt>
                <c:pt idx="50">
                  <c:v>133.21316528320313</c:v>
                </c:pt>
                <c:pt idx="51">
                  <c:v>163.94734191894531</c:v>
                </c:pt>
                <c:pt idx="52">
                  <c:v>130.52186584472656</c:v>
                </c:pt>
                <c:pt idx="53">
                  <c:v>113.09279632568359</c:v>
                </c:pt>
                <c:pt idx="54">
                  <c:v>92.394874572753906</c:v>
                </c:pt>
                <c:pt idx="55">
                  <c:v>140.97506713867188</c:v>
                </c:pt>
                <c:pt idx="56">
                  <c:v>130.35877990722656</c:v>
                </c:pt>
                <c:pt idx="57">
                  <c:v>130.689208984375</c:v>
                </c:pt>
                <c:pt idx="58">
                  <c:v>128.90164184570313</c:v>
                </c:pt>
                <c:pt idx="59">
                  <c:v>142.36643981933594</c:v>
                </c:pt>
                <c:pt idx="60">
                  <c:v>112.33326721191406</c:v>
                </c:pt>
                <c:pt idx="61">
                  <c:v>136.42637634277344</c:v>
                </c:pt>
                <c:pt idx="62">
                  <c:v>175.44340515136719</c:v>
                </c:pt>
                <c:pt idx="63">
                  <c:v>139.71894836425781</c:v>
                </c:pt>
                <c:pt idx="64">
                  <c:v>165.81121826171875</c:v>
                </c:pt>
                <c:pt idx="65">
                  <c:v>222.19857788085938</c:v>
                </c:pt>
                <c:pt idx="66">
                  <c:v>134.79460144042969</c:v>
                </c:pt>
                <c:pt idx="67">
                  <c:v>136.74961853027344</c:v>
                </c:pt>
                <c:pt idx="68">
                  <c:v>124.10614776611328</c:v>
                </c:pt>
                <c:pt idx="69">
                  <c:v>154.43557739257813</c:v>
                </c:pt>
                <c:pt idx="70">
                  <c:v>99.912399291992188</c:v>
                </c:pt>
              </c:numCache>
            </c:numRef>
          </c:xVal>
          <c:yVal>
            <c:numRef>
              <c:f>'Correlation-GPR-USDINR'!$B$2:$B$72</c:f>
              <c:numCache>
                <c:formatCode>0.00</c:formatCode>
                <c:ptCount val="71"/>
                <c:pt idx="0">
                  <c:v>71.540000000000006</c:v>
                </c:pt>
                <c:pt idx="1">
                  <c:v>72.534000000000006</c:v>
                </c:pt>
                <c:pt idx="2">
                  <c:v>75.332999999999998</c:v>
                </c:pt>
                <c:pt idx="3">
                  <c:v>75.076999999999998</c:v>
                </c:pt>
                <c:pt idx="4">
                  <c:v>75.59</c:v>
                </c:pt>
                <c:pt idx="5">
                  <c:v>75.540000000000006</c:v>
                </c:pt>
                <c:pt idx="6">
                  <c:v>74.915999999999997</c:v>
                </c:pt>
                <c:pt idx="7">
                  <c:v>73.254000000000005</c:v>
                </c:pt>
                <c:pt idx="8">
                  <c:v>73.56</c:v>
                </c:pt>
                <c:pt idx="9">
                  <c:v>74.554000000000002</c:v>
                </c:pt>
                <c:pt idx="10">
                  <c:v>73.989999999999995</c:v>
                </c:pt>
                <c:pt idx="11">
                  <c:v>73.036000000000001</c:v>
                </c:pt>
                <c:pt idx="12">
                  <c:v>72.876999999999995</c:v>
                </c:pt>
                <c:pt idx="13">
                  <c:v>73.92</c:v>
                </c:pt>
                <c:pt idx="14">
                  <c:v>73.137</c:v>
                </c:pt>
                <c:pt idx="15">
                  <c:v>74.05</c:v>
                </c:pt>
                <c:pt idx="16">
                  <c:v>72.510999999999996</c:v>
                </c:pt>
                <c:pt idx="17">
                  <c:v>74.36</c:v>
                </c:pt>
                <c:pt idx="18">
                  <c:v>74.337000000000003</c:v>
                </c:pt>
                <c:pt idx="19">
                  <c:v>72.947000000000003</c:v>
                </c:pt>
                <c:pt idx="20">
                  <c:v>74.164000000000001</c:v>
                </c:pt>
                <c:pt idx="21">
                  <c:v>74.915000000000006</c:v>
                </c:pt>
                <c:pt idx="22">
                  <c:v>75.09</c:v>
                </c:pt>
                <c:pt idx="23">
                  <c:v>74.466999999999999</c:v>
                </c:pt>
                <c:pt idx="24">
                  <c:v>74.528999999999996</c:v>
                </c:pt>
                <c:pt idx="25">
                  <c:v>75.492999999999995</c:v>
                </c:pt>
                <c:pt idx="26">
                  <c:v>75.900999999999996</c:v>
                </c:pt>
                <c:pt idx="27">
                  <c:v>76.52</c:v>
                </c:pt>
                <c:pt idx="28">
                  <c:v>77.569000000000003</c:v>
                </c:pt>
                <c:pt idx="29">
                  <c:v>78.95</c:v>
                </c:pt>
                <c:pt idx="30">
                  <c:v>79.335999999999999</c:v>
                </c:pt>
                <c:pt idx="31">
                  <c:v>79.491</c:v>
                </c:pt>
                <c:pt idx="32">
                  <c:v>81.509</c:v>
                </c:pt>
                <c:pt idx="33">
                  <c:v>82.77</c:v>
                </c:pt>
                <c:pt idx="34">
                  <c:v>81.358999999999995</c:v>
                </c:pt>
                <c:pt idx="35">
                  <c:v>82.716999999999999</c:v>
                </c:pt>
                <c:pt idx="36">
                  <c:v>81.739000000000004</c:v>
                </c:pt>
                <c:pt idx="37">
                  <c:v>82.64</c:v>
                </c:pt>
                <c:pt idx="38">
                  <c:v>82.16</c:v>
                </c:pt>
                <c:pt idx="39">
                  <c:v>81.72</c:v>
                </c:pt>
                <c:pt idx="40">
                  <c:v>82.68</c:v>
                </c:pt>
                <c:pt idx="41">
                  <c:v>82.090999999999994</c:v>
                </c:pt>
                <c:pt idx="42">
                  <c:v>82.24</c:v>
                </c:pt>
                <c:pt idx="43">
                  <c:v>82.701999999999998</c:v>
                </c:pt>
                <c:pt idx="44">
                  <c:v>83.03</c:v>
                </c:pt>
                <c:pt idx="45">
                  <c:v>83.256</c:v>
                </c:pt>
                <c:pt idx="46">
                  <c:v>83.356999999999999</c:v>
                </c:pt>
                <c:pt idx="47">
                  <c:v>83.19</c:v>
                </c:pt>
                <c:pt idx="48">
                  <c:v>83.094999999999999</c:v>
                </c:pt>
                <c:pt idx="49">
                  <c:v>82.9</c:v>
                </c:pt>
                <c:pt idx="50">
                  <c:v>83.35</c:v>
                </c:pt>
                <c:pt idx="51">
                  <c:v>83.45</c:v>
                </c:pt>
                <c:pt idx="52">
                  <c:v>83.424000000000007</c:v>
                </c:pt>
                <c:pt idx="53">
                  <c:v>83.355000000000004</c:v>
                </c:pt>
                <c:pt idx="54">
                  <c:v>83.698999999999998</c:v>
                </c:pt>
                <c:pt idx="55">
                  <c:v>83.867000000000004</c:v>
                </c:pt>
                <c:pt idx="56">
                  <c:v>83.754999999999995</c:v>
                </c:pt>
                <c:pt idx="57">
                  <c:v>84.061000000000007</c:v>
                </c:pt>
                <c:pt idx="58">
                  <c:v>84.558999999999997</c:v>
                </c:pt>
                <c:pt idx="59">
                  <c:v>85.554000000000002</c:v>
                </c:pt>
                <c:pt idx="60">
                  <c:v>86.561000000000007</c:v>
                </c:pt>
                <c:pt idx="61">
                  <c:v>87.471000000000004</c:v>
                </c:pt>
                <c:pt idx="62">
                  <c:v>85.46</c:v>
                </c:pt>
                <c:pt idx="63">
                  <c:v>84.599000000000004</c:v>
                </c:pt>
                <c:pt idx="64">
                  <c:v>85.525000000000006</c:v>
                </c:pt>
                <c:pt idx="65">
                  <c:v>85.7</c:v>
                </c:pt>
                <c:pt idx="66">
                  <c:v>87.524000000000001</c:v>
                </c:pt>
                <c:pt idx="67">
                  <c:v>88.174000000000007</c:v>
                </c:pt>
                <c:pt idx="68">
                  <c:v>88.840999999999994</c:v>
                </c:pt>
                <c:pt idx="69">
                  <c:v>88.769000000000005</c:v>
                </c:pt>
                <c:pt idx="70">
                  <c:v>89.356999999999999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E-4191-A3D0-94D81DF14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64031"/>
        <c:axId val="408758751"/>
      </c:scatterChart>
      <c:valAx>
        <c:axId val="40876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58751"/>
        <c:crosses val="autoZero"/>
        <c:crossBetween val="midCat"/>
      </c:valAx>
      <c:valAx>
        <c:axId val="40875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USDINR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6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30480</xdr:rowOff>
    </xdr:from>
    <xdr:to>
      <xdr:col>14</xdr:col>
      <xdr:colOff>312420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07373-C753-A7D5-B886-9F06D7304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0</xdr:row>
      <xdr:rowOff>160020</xdr:rowOff>
    </xdr:from>
    <xdr:to>
      <xdr:col>22</xdr:col>
      <xdr:colOff>266700</xdr:colOff>
      <xdr:row>15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02D495-E4A2-13C6-D762-C10DD607A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601980</xdr:colOff>
      <xdr:row>17</xdr:row>
      <xdr:rowOff>0</xdr:rowOff>
    </xdr:from>
    <xdr:to>
      <xdr:col>14</xdr:col>
      <xdr:colOff>297180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634AAA-0560-712D-DCD1-7825DAD37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22</xdr:col>
      <xdr:colOff>304800</xdr:colOff>
      <xdr:row>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8499F6-1815-45A4-40E5-E9A8AC955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1</xdr:row>
      <xdr:rowOff>0</xdr:rowOff>
    </xdr:from>
    <xdr:to>
      <xdr:col>20</xdr:col>
      <xdr:colOff>320040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0324F1-30B1-6B07-43AD-FD82AFB9E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20</xdr:col>
      <xdr:colOff>304800</xdr:colOff>
      <xdr:row>32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57FA06-05B1-C34A-511A-A5A66E94A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</xdr:colOff>
      <xdr:row>33</xdr:row>
      <xdr:rowOff>60960</xdr:rowOff>
    </xdr:from>
    <xdr:to>
      <xdr:col>20</xdr:col>
      <xdr:colOff>312420</xdr:colOff>
      <xdr:row>48</xdr:row>
      <xdr:rowOff>60960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4E8AC52-91B8-2F46-C30C-F8419C088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594360</xdr:colOff>
      <xdr:row>50</xdr:row>
      <xdr:rowOff>15240</xdr:rowOff>
    </xdr:from>
    <xdr:to>
      <xdr:col>20</xdr:col>
      <xdr:colOff>289560</xdr:colOff>
      <xdr:row>65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739540C-8864-9D6A-BE46-1AB957F43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0.425</cdr:x>
      <cdr:y>0.24444</cdr:y>
    </cdr:from>
    <cdr:to>
      <cdr:x>0.625</cdr:x>
      <cdr:y>0.57778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0B4E42-52AB-64C6-63B6-E65E529FBCF4}"/>
            </a:ext>
          </a:extLst>
        </cdr:cNvPr>
        <cdr:cNvSpPr txBox="1"/>
      </cdr:nvSpPr>
      <cdr:spPr>
        <a:xfrm xmlns:a="http://schemas.openxmlformats.org/drawingml/2006/main">
          <a:off x="1943100" y="6705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/>
            <a:t>Sharp rise in GPR</a:t>
          </a:r>
        </a:p>
        <a:p xmlns:a="http://schemas.openxmlformats.org/drawingml/2006/main">
          <a:r>
            <a:rPr lang="en-IN"/>
            <a:t> during geopolitical tensions.</a:t>
          </a:r>
          <a:endParaRPr lang="en-IN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73</xdr:row>
      <xdr:rowOff>182880</xdr:rowOff>
    </xdr:from>
    <xdr:to>
      <xdr:col>6</xdr:col>
      <xdr:colOff>670560</xdr:colOff>
      <xdr:row>88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52805-DBB8-A5C9-B897-8B89C58A2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853440</xdr:colOff>
      <xdr:row>74</xdr:row>
      <xdr:rowOff>38100</xdr:rowOff>
    </xdr:from>
    <xdr:to>
      <xdr:col>6</xdr:col>
      <xdr:colOff>365760</xdr:colOff>
      <xdr:row>89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E18158-A4D1-EBB7-8784-94845869D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838200</xdr:colOff>
      <xdr:row>73</xdr:row>
      <xdr:rowOff>137160</xdr:rowOff>
    </xdr:from>
    <xdr:to>
      <xdr:col>6</xdr:col>
      <xdr:colOff>350520</xdr:colOff>
      <xdr:row>88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808D0B-DE2B-5F94-447B-0CE33046E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8930-725A-416E-929C-E6D48C78EB53}">
  <dimension ref="A1:F72"/>
  <sheetViews>
    <sheetView workbookViewId="0">
      <selection activeCell="H10" sqref="H10"/>
    </sheetView>
  </sheetViews>
  <sheetFormatPr defaultRowHeight="14.4" x14ac:dyDescent="0.3"/>
  <cols>
    <col min="1" max="1" width="5" style="2" bestFit="1" customWidth="1"/>
    <col min="2" max="2" width="10.33203125" style="2" bestFit="1" customWidth="1"/>
    <col min="3" max="3" width="8.88671875" style="2"/>
    <col min="4" max="4" width="9.5546875" style="6" bestFit="1" customWidth="1"/>
    <col min="5" max="5" width="10.44140625" style="6" bestFit="1" customWidth="1"/>
    <col min="6" max="6" width="8.88671875" style="6"/>
    <col min="7" max="16384" width="8.88671875" style="2"/>
  </cols>
  <sheetData>
    <row r="1" spans="1:6" x14ac:dyDescent="0.3">
      <c r="A1" s="1" t="s">
        <v>1</v>
      </c>
      <c r="B1" s="1" t="s">
        <v>0</v>
      </c>
      <c r="C1" s="1" t="s">
        <v>2</v>
      </c>
      <c r="D1" s="5" t="s">
        <v>6</v>
      </c>
      <c r="E1" s="5" t="s">
        <v>7</v>
      </c>
      <c r="F1" s="5" t="s">
        <v>5</v>
      </c>
    </row>
    <row r="2" spans="1:6" x14ac:dyDescent="0.3">
      <c r="A2" s="2">
        <v>1</v>
      </c>
      <c r="B2" s="3">
        <v>43831</v>
      </c>
      <c r="C2" s="4">
        <v>138.42094421386719</v>
      </c>
      <c r="D2" s="6">
        <v>39991.54017</v>
      </c>
      <c r="E2" s="6">
        <v>11962.1</v>
      </c>
      <c r="F2" s="6">
        <v>71.540000000000006</v>
      </c>
    </row>
    <row r="3" spans="1:6" x14ac:dyDescent="0.3">
      <c r="A3" s="2">
        <f>A2+1</f>
        <v>2</v>
      </c>
      <c r="B3" s="3">
        <v>43862</v>
      </c>
      <c r="C3" s="4">
        <v>75.955558776855469</v>
      </c>
      <c r="D3" s="6">
        <v>41196.719270000001</v>
      </c>
      <c r="E3" s="6">
        <v>11201.75</v>
      </c>
      <c r="F3" s="6">
        <v>72.534000000000006</v>
      </c>
    </row>
    <row r="4" spans="1:6" x14ac:dyDescent="0.3">
      <c r="A4" s="2">
        <f t="shared" ref="A4:A67" si="0">A3+1</f>
        <v>3</v>
      </c>
      <c r="B4" s="3">
        <v>43891</v>
      </c>
      <c r="C4" s="4">
        <v>81.540031433105497</v>
      </c>
      <c r="D4" s="6">
        <v>41726.918879999997</v>
      </c>
      <c r="E4" s="6">
        <v>8597.75</v>
      </c>
      <c r="F4" s="6">
        <v>75.332999999999998</v>
      </c>
    </row>
    <row r="5" spans="1:6" x14ac:dyDescent="0.3">
      <c r="A5" s="2">
        <f t="shared" si="0"/>
        <v>4</v>
      </c>
      <c r="B5" s="3">
        <v>43922</v>
      </c>
      <c r="C5" s="4">
        <v>69.339401245117188</v>
      </c>
      <c r="D5" s="6">
        <v>40988.969429999997</v>
      </c>
      <c r="E5" s="6">
        <v>9859.9</v>
      </c>
      <c r="F5" s="6">
        <v>75.076999999999998</v>
      </c>
    </row>
    <row r="6" spans="1:6" x14ac:dyDescent="0.3">
      <c r="A6" s="2">
        <f t="shared" si="0"/>
        <v>5</v>
      </c>
      <c r="B6" s="3">
        <v>43952</v>
      </c>
      <c r="C6" s="4">
        <v>68.507217407226563</v>
      </c>
      <c r="D6" s="6">
        <v>40988.969429999997</v>
      </c>
      <c r="E6" s="6">
        <v>9580.2999999999993</v>
      </c>
      <c r="F6" s="6">
        <v>75.59</v>
      </c>
    </row>
    <row r="7" spans="1:6" x14ac:dyDescent="0.3">
      <c r="A7" s="2">
        <f t="shared" si="0"/>
        <v>6</v>
      </c>
      <c r="B7" s="3">
        <v>43983</v>
      </c>
      <c r="C7" s="4">
        <v>71.227859497070313</v>
      </c>
      <c r="D7" s="6">
        <v>46781.285109999997</v>
      </c>
      <c r="E7" s="6">
        <v>10302.1</v>
      </c>
      <c r="F7" s="6">
        <v>75.540000000000006</v>
      </c>
    </row>
    <row r="8" spans="1:6" x14ac:dyDescent="0.3">
      <c r="A8" s="2">
        <f t="shared" si="0"/>
        <v>7</v>
      </c>
      <c r="B8" s="3">
        <v>44013</v>
      </c>
      <c r="C8" s="4">
        <v>66.473281860351563</v>
      </c>
      <c r="D8" s="6">
        <v>49912.79277</v>
      </c>
      <c r="E8" s="6">
        <v>11073.45</v>
      </c>
      <c r="F8" s="6">
        <v>74.915999999999997</v>
      </c>
    </row>
    <row r="9" spans="1:6" x14ac:dyDescent="0.3">
      <c r="A9" s="2">
        <f t="shared" si="0"/>
        <v>8</v>
      </c>
      <c r="B9" s="3">
        <v>44044</v>
      </c>
      <c r="C9" s="4">
        <v>65.466049194335938</v>
      </c>
      <c r="D9" s="6">
        <v>53038.150439999998</v>
      </c>
      <c r="E9" s="6">
        <v>11387.5</v>
      </c>
      <c r="F9" s="6">
        <v>73.254000000000005</v>
      </c>
    </row>
    <row r="10" spans="1:6" x14ac:dyDescent="0.3">
      <c r="A10" s="2">
        <f t="shared" si="0"/>
        <v>9</v>
      </c>
      <c r="B10" s="3">
        <v>44075</v>
      </c>
      <c r="C10" s="4">
        <v>80.37738037109375</v>
      </c>
      <c r="D10" s="6">
        <v>50901.282030000002</v>
      </c>
      <c r="E10" s="6">
        <v>11247.55</v>
      </c>
      <c r="F10" s="6">
        <v>73.56</v>
      </c>
    </row>
    <row r="11" spans="1:6" x14ac:dyDescent="0.3">
      <c r="A11" s="2">
        <f t="shared" si="0"/>
        <v>10</v>
      </c>
      <c r="B11" s="3">
        <v>44105</v>
      </c>
      <c r="C11" s="4">
        <v>76.083168029785156</v>
      </c>
      <c r="D11" s="6">
        <v>50715.532169999999</v>
      </c>
      <c r="E11" s="6">
        <v>11642.4</v>
      </c>
      <c r="F11" s="6">
        <v>74.554000000000002</v>
      </c>
    </row>
    <row r="12" spans="1:6" x14ac:dyDescent="0.3">
      <c r="A12" s="2">
        <f t="shared" si="0"/>
        <v>11</v>
      </c>
      <c r="B12" s="3">
        <v>44136</v>
      </c>
      <c r="C12" s="4">
        <v>70.067466735839844</v>
      </c>
      <c r="D12" s="6">
        <v>50407.232400000001</v>
      </c>
      <c r="E12" s="6">
        <v>12968.95</v>
      </c>
      <c r="F12" s="6">
        <v>73.989999999999995</v>
      </c>
    </row>
    <row r="13" spans="1:6" x14ac:dyDescent="0.3">
      <c r="A13" s="2">
        <f t="shared" si="0"/>
        <v>12</v>
      </c>
      <c r="B13" s="3">
        <v>44166</v>
      </c>
      <c r="C13" s="4">
        <v>64.067291259765625</v>
      </c>
      <c r="D13" s="6">
        <v>49467.413099999998</v>
      </c>
      <c r="E13" s="6">
        <v>13981.75</v>
      </c>
      <c r="F13" s="6">
        <v>73.036000000000001</v>
      </c>
    </row>
    <row r="14" spans="1:6" x14ac:dyDescent="0.3">
      <c r="A14" s="2">
        <f t="shared" si="0"/>
        <v>13</v>
      </c>
      <c r="B14" s="3">
        <v>44197</v>
      </c>
      <c r="C14" s="4">
        <v>77.418701171875</v>
      </c>
      <c r="D14" s="6">
        <v>49639.122969999997</v>
      </c>
      <c r="E14" s="6">
        <v>13634.6</v>
      </c>
      <c r="F14" s="6">
        <v>72.876999999999995</v>
      </c>
    </row>
    <row r="15" spans="1:6" x14ac:dyDescent="0.3">
      <c r="A15" s="2">
        <f t="shared" si="0"/>
        <v>14</v>
      </c>
      <c r="B15" s="3">
        <v>44228</v>
      </c>
      <c r="C15" s="4">
        <v>73.956802368164063</v>
      </c>
      <c r="D15" s="6">
        <v>47141.514840000003</v>
      </c>
      <c r="E15" s="6">
        <v>14529.15</v>
      </c>
      <c r="F15" s="6">
        <v>73.92</v>
      </c>
    </row>
    <row r="16" spans="1:6" x14ac:dyDescent="0.3">
      <c r="A16" s="2">
        <f t="shared" si="0"/>
        <v>15</v>
      </c>
      <c r="B16" s="3">
        <v>44256</v>
      </c>
      <c r="C16" s="4">
        <v>78.618766784667969</v>
      </c>
      <c r="D16" s="6">
        <v>44649.4467</v>
      </c>
      <c r="E16" s="6">
        <v>14690.7</v>
      </c>
      <c r="F16" s="6">
        <v>73.137</v>
      </c>
    </row>
    <row r="17" spans="1:6" x14ac:dyDescent="0.3">
      <c r="A17" s="2">
        <f t="shared" si="0"/>
        <v>16</v>
      </c>
      <c r="B17" s="3">
        <v>44287</v>
      </c>
      <c r="C17" s="4">
        <v>88.166221618652344</v>
      </c>
      <c r="D17" s="6">
        <v>46724.255149999997</v>
      </c>
      <c r="E17" s="6">
        <v>14631.1</v>
      </c>
      <c r="F17" s="6">
        <v>74.05</v>
      </c>
    </row>
    <row r="18" spans="1:6" x14ac:dyDescent="0.3">
      <c r="A18" s="2">
        <f t="shared" si="0"/>
        <v>17</v>
      </c>
      <c r="B18" s="3">
        <v>44317</v>
      </c>
      <c r="C18" s="4">
        <v>93.007133483886719</v>
      </c>
      <c r="D18" s="6">
        <v>47889.444280000003</v>
      </c>
      <c r="E18" s="6">
        <v>15582.8</v>
      </c>
      <c r="F18" s="6">
        <v>72.510999999999996</v>
      </c>
    </row>
    <row r="19" spans="1:6" x14ac:dyDescent="0.3">
      <c r="A19" s="2">
        <f t="shared" si="0"/>
        <v>18</v>
      </c>
      <c r="B19" s="3">
        <v>44348</v>
      </c>
      <c r="C19" s="4">
        <v>74.127120971679688</v>
      </c>
      <c r="D19" s="6">
        <v>47902.914270000001</v>
      </c>
      <c r="E19" s="6">
        <v>15721.5</v>
      </c>
      <c r="F19" s="6">
        <v>74.36</v>
      </c>
    </row>
    <row r="20" spans="1:6" x14ac:dyDescent="0.3">
      <c r="A20" s="2">
        <f t="shared" si="0"/>
        <v>19</v>
      </c>
      <c r="B20" s="3">
        <v>44378</v>
      </c>
      <c r="C20" s="4">
        <v>58.420768737792969</v>
      </c>
      <c r="D20" s="6">
        <v>47791.964350000002</v>
      </c>
      <c r="E20" s="6">
        <v>15763.05</v>
      </c>
      <c r="F20" s="6">
        <v>74.337000000000003</v>
      </c>
    </row>
    <row r="21" spans="1:6" x14ac:dyDescent="0.3">
      <c r="A21" s="2">
        <f t="shared" si="0"/>
        <v>20</v>
      </c>
      <c r="B21" s="3">
        <v>44409</v>
      </c>
      <c r="C21" s="4">
        <v>89.486549377441406</v>
      </c>
      <c r="D21" s="6">
        <v>47097.604870000003</v>
      </c>
      <c r="E21" s="6">
        <v>17132.2</v>
      </c>
      <c r="F21" s="6">
        <v>72.947000000000003</v>
      </c>
    </row>
    <row r="22" spans="1:6" x14ac:dyDescent="0.3">
      <c r="A22" s="2">
        <f t="shared" si="0"/>
        <v>21</v>
      </c>
      <c r="B22" s="3">
        <v>44440</v>
      </c>
      <c r="C22" s="4">
        <v>80.696968078613281</v>
      </c>
      <c r="D22" s="6">
        <v>46589.055249999998</v>
      </c>
      <c r="E22" s="6">
        <v>17618.150000000001</v>
      </c>
      <c r="F22" s="6">
        <v>74.164000000000001</v>
      </c>
    </row>
    <row r="23" spans="1:6" x14ac:dyDescent="0.3">
      <c r="A23" s="2">
        <f t="shared" si="0"/>
        <v>22</v>
      </c>
      <c r="B23" s="3">
        <v>44470</v>
      </c>
      <c r="C23" s="4">
        <v>79.02923583984375</v>
      </c>
      <c r="D23" s="6">
        <v>47251.584759999998</v>
      </c>
      <c r="E23" s="6">
        <v>17671.650000000001</v>
      </c>
      <c r="F23" s="6">
        <v>74.915000000000006</v>
      </c>
    </row>
    <row r="24" spans="1:6" x14ac:dyDescent="0.3">
      <c r="A24" s="2">
        <f t="shared" si="0"/>
        <v>23</v>
      </c>
      <c r="B24" s="3">
        <v>44501</v>
      </c>
      <c r="C24" s="4">
        <v>86.569145202636719</v>
      </c>
      <c r="D24" s="6">
        <v>48162.914080000002</v>
      </c>
      <c r="E24" s="6">
        <v>16983.2</v>
      </c>
      <c r="F24" s="6">
        <v>75.09</v>
      </c>
    </row>
    <row r="25" spans="1:6" x14ac:dyDescent="0.3">
      <c r="A25" s="2">
        <f t="shared" si="0"/>
        <v>24</v>
      </c>
      <c r="B25" s="3">
        <v>44531</v>
      </c>
      <c r="C25" s="4">
        <v>105.34542083740234</v>
      </c>
      <c r="D25" s="6">
        <v>47900.134270000002</v>
      </c>
      <c r="E25" s="6">
        <v>17354.05</v>
      </c>
      <c r="F25" s="6">
        <v>74.466999999999999</v>
      </c>
    </row>
    <row r="26" spans="1:6" x14ac:dyDescent="0.3">
      <c r="A26" s="2">
        <f t="shared" si="0"/>
        <v>25</v>
      </c>
      <c r="B26" s="3">
        <v>44562</v>
      </c>
      <c r="C26" s="4">
        <v>138.67498779296875</v>
      </c>
      <c r="D26" s="6">
        <v>47983.414210000003</v>
      </c>
      <c r="E26" s="6">
        <v>17339.849999999999</v>
      </c>
      <c r="F26" s="6">
        <v>74.528999999999996</v>
      </c>
    </row>
    <row r="27" spans="1:6" x14ac:dyDescent="0.3">
      <c r="A27" s="2">
        <f t="shared" si="0"/>
        <v>26</v>
      </c>
      <c r="B27" s="3">
        <v>44593</v>
      </c>
      <c r="C27" s="4">
        <v>216.15901184082031</v>
      </c>
      <c r="D27" s="6">
        <v>49279.413240000002</v>
      </c>
      <c r="E27" s="6">
        <v>16793.900000000001</v>
      </c>
      <c r="F27" s="6">
        <v>75.492999999999995</v>
      </c>
    </row>
    <row r="28" spans="1:6" x14ac:dyDescent="0.3">
      <c r="A28" s="2">
        <f t="shared" si="0"/>
        <v>27</v>
      </c>
      <c r="B28" s="3">
        <v>44621</v>
      </c>
      <c r="C28" s="4">
        <v>318.95492553710938</v>
      </c>
      <c r="D28" s="6">
        <v>51672.351459999998</v>
      </c>
      <c r="E28" s="6">
        <v>17464.75</v>
      </c>
      <c r="F28" s="6">
        <v>75.900999999999996</v>
      </c>
    </row>
    <row r="29" spans="1:6" x14ac:dyDescent="0.3">
      <c r="A29" s="2">
        <f t="shared" si="0"/>
        <v>28</v>
      </c>
      <c r="B29" s="3">
        <v>44652</v>
      </c>
      <c r="C29" s="4">
        <v>191.14309692382813</v>
      </c>
      <c r="D29" s="6">
        <v>52057.861169999996</v>
      </c>
      <c r="E29" s="6">
        <v>17102.55</v>
      </c>
      <c r="F29" s="6">
        <v>76.52</v>
      </c>
    </row>
    <row r="30" spans="1:6" x14ac:dyDescent="0.3">
      <c r="A30" s="2">
        <f t="shared" si="0"/>
        <v>29</v>
      </c>
      <c r="B30" s="3">
        <v>44682</v>
      </c>
      <c r="C30" s="4">
        <v>142.25848388671875</v>
      </c>
      <c r="D30" s="6">
        <v>50887.232040000003</v>
      </c>
      <c r="E30" s="6">
        <v>16584.55</v>
      </c>
      <c r="F30" s="6">
        <v>77.569000000000003</v>
      </c>
    </row>
    <row r="31" spans="1:6" x14ac:dyDescent="0.3">
      <c r="A31" s="2">
        <f t="shared" si="0"/>
        <v>30</v>
      </c>
      <c r="B31" s="3">
        <v>44713</v>
      </c>
      <c r="C31" s="4">
        <v>130.70732116699219</v>
      </c>
      <c r="D31" s="6">
        <v>50808.822099999998</v>
      </c>
      <c r="E31" s="6">
        <v>15780.25</v>
      </c>
      <c r="F31" s="6">
        <v>78.95</v>
      </c>
    </row>
    <row r="32" spans="1:6" x14ac:dyDescent="0.3">
      <c r="A32" s="2">
        <f t="shared" si="0"/>
        <v>31</v>
      </c>
      <c r="B32" s="3">
        <v>44743</v>
      </c>
      <c r="C32" s="4">
        <v>117.17676544189453</v>
      </c>
      <c r="D32" s="6">
        <v>50752.962140000003</v>
      </c>
      <c r="E32" s="6">
        <v>17158.25</v>
      </c>
      <c r="F32" s="6">
        <v>79.335999999999999</v>
      </c>
    </row>
    <row r="33" spans="1:6" x14ac:dyDescent="0.3">
      <c r="A33" s="2">
        <f t="shared" si="0"/>
        <v>32</v>
      </c>
      <c r="B33" s="3">
        <v>44774</v>
      </c>
      <c r="C33" s="4">
        <v>132.86322021484375</v>
      </c>
      <c r="D33" s="6">
        <v>51635.051489999998</v>
      </c>
      <c r="E33" s="6">
        <v>17759.3</v>
      </c>
      <c r="F33" s="6">
        <v>79.491</v>
      </c>
    </row>
    <row r="34" spans="1:6" x14ac:dyDescent="0.3">
      <c r="A34" s="2">
        <f t="shared" si="0"/>
        <v>33</v>
      </c>
      <c r="B34" s="3">
        <v>44805</v>
      </c>
      <c r="C34" s="4">
        <v>131.98587036132813</v>
      </c>
      <c r="D34" s="6">
        <v>49957.012739999998</v>
      </c>
      <c r="E34" s="6">
        <v>17094.349999999999</v>
      </c>
      <c r="F34" s="6">
        <v>81.509</v>
      </c>
    </row>
    <row r="35" spans="1:6" x14ac:dyDescent="0.3">
      <c r="A35" s="2">
        <f t="shared" si="0"/>
        <v>34</v>
      </c>
      <c r="B35" s="3">
        <v>44835</v>
      </c>
      <c r="C35" s="4">
        <v>143.16241455078125</v>
      </c>
      <c r="D35" s="6">
        <v>50372.482429999996</v>
      </c>
      <c r="E35" s="6">
        <v>18012.2</v>
      </c>
      <c r="F35" s="6">
        <v>82.77</v>
      </c>
    </row>
    <row r="36" spans="1:6" x14ac:dyDescent="0.3">
      <c r="A36" s="2">
        <f t="shared" si="0"/>
        <v>35</v>
      </c>
      <c r="B36" s="3">
        <v>44866</v>
      </c>
      <c r="C36" s="4">
        <v>116.71628570556641</v>
      </c>
      <c r="D36" s="6">
        <v>51843.821329999999</v>
      </c>
      <c r="E36" s="6">
        <v>18758.349999999999</v>
      </c>
      <c r="F36" s="6">
        <v>81.358999999999995</v>
      </c>
    </row>
    <row r="37" spans="1:6" x14ac:dyDescent="0.3">
      <c r="A37" s="2">
        <f t="shared" si="0"/>
        <v>36</v>
      </c>
      <c r="B37" s="3">
        <v>44896</v>
      </c>
      <c r="C37" s="4">
        <v>111.19593811035156</v>
      </c>
      <c r="D37" s="6">
        <v>53928.689769999997</v>
      </c>
      <c r="E37" s="6">
        <v>18105.3</v>
      </c>
      <c r="F37" s="6">
        <v>82.716999999999999</v>
      </c>
    </row>
    <row r="38" spans="1:6" x14ac:dyDescent="0.3">
      <c r="A38" s="2">
        <f t="shared" si="0"/>
        <v>37</v>
      </c>
      <c r="B38" s="3">
        <v>44927</v>
      </c>
      <c r="C38" s="4">
        <v>104.26704406738281</v>
      </c>
      <c r="D38" s="6">
        <v>56221.668060000004</v>
      </c>
      <c r="E38" s="6">
        <v>17662.150000000001</v>
      </c>
      <c r="F38" s="6">
        <v>81.739000000000004</v>
      </c>
    </row>
    <row r="39" spans="1:6" x14ac:dyDescent="0.3">
      <c r="A39" s="2">
        <f t="shared" si="0"/>
        <v>38</v>
      </c>
      <c r="B39" s="3">
        <v>44958</v>
      </c>
      <c r="C39" s="4">
        <v>120.99437713623047</v>
      </c>
      <c r="D39" s="6">
        <v>56655.057739999997</v>
      </c>
      <c r="E39" s="6">
        <v>17303.95</v>
      </c>
      <c r="F39" s="6">
        <v>82.64</v>
      </c>
    </row>
    <row r="40" spans="1:6" x14ac:dyDescent="0.3">
      <c r="A40" s="2">
        <f t="shared" si="0"/>
        <v>39</v>
      </c>
      <c r="B40" s="3">
        <v>44986</v>
      </c>
      <c r="C40" s="4">
        <v>105.37997436523438</v>
      </c>
      <c r="D40" s="6">
        <v>57577.527049999997</v>
      </c>
      <c r="E40" s="6">
        <v>17359.75</v>
      </c>
      <c r="F40" s="6">
        <v>82.16</v>
      </c>
    </row>
    <row r="41" spans="1:6" x14ac:dyDescent="0.3">
      <c r="A41" s="2">
        <f t="shared" si="0"/>
        <v>40</v>
      </c>
      <c r="B41" s="3">
        <v>45017</v>
      </c>
      <c r="C41" s="4">
        <v>106.80965423583984</v>
      </c>
      <c r="D41" s="6">
        <v>60128.425150000003</v>
      </c>
      <c r="E41" s="6">
        <v>18065</v>
      </c>
      <c r="F41" s="6">
        <v>81.72</v>
      </c>
    </row>
    <row r="42" spans="1:6" x14ac:dyDescent="0.3">
      <c r="A42" s="2">
        <f t="shared" si="0"/>
        <v>41</v>
      </c>
      <c r="B42" s="3">
        <v>45047</v>
      </c>
      <c r="C42" s="4">
        <v>108.46768188476563</v>
      </c>
      <c r="D42" s="6">
        <v>60551.864829999999</v>
      </c>
      <c r="E42" s="6">
        <v>18534.400000000001</v>
      </c>
      <c r="F42" s="6">
        <v>82.68</v>
      </c>
    </row>
    <row r="43" spans="1:6" x14ac:dyDescent="0.3">
      <c r="A43" s="2">
        <f t="shared" si="0"/>
        <v>42</v>
      </c>
      <c r="B43" s="3">
        <v>45078</v>
      </c>
      <c r="C43" s="4">
        <v>110.52894592285156</v>
      </c>
      <c r="D43" s="6">
        <v>59023.005969999998</v>
      </c>
      <c r="E43" s="6">
        <v>19189.05</v>
      </c>
      <c r="F43" s="6">
        <v>82.090999999999994</v>
      </c>
    </row>
    <row r="44" spans="1:6" x14ac:dyDescent="0.3">
      <c r="A44" s="2">
        <f t="shared" si="0"/>
        <v>43</v>
      </c>
      <c r="B44" s="3">
        <v>45108</v>
      </c>
      <c r="C44" s="4">
        <v>107.44878387451172</v>
      </c>
      <c r="D44" s="6">
        <v>58937.056040000003</v>
      </c>
      <c r="E44" s="6">
        <v>19753.8</v>
      </c>
      <c r="F44" s="6">
        <v>82.24</v>
      </c>
    </row>
    <row r="45" spans="1:6" x14ac:dyDescent="0.3">
      <c r="A45" s="2">
        <f t="shared" si="0"/>
        <v>44</v>
      </c>
      <c r="B45" s="3">
        <v>45139</v>
      </c>
      <c r="C45" s="4">
        <v>101.14118194580078</v>
      </c>
      <c r="D45" s="6">
        <v>58722.136200000001</v>
      </c>
      <c r="E45" s="6">
        <v>19253.8</v>
      </c>
      <c r="F45" s="6">
        <v>82.701999999999998</v>
      </c>
    </row>
    <row r="46" spans="1:6" x14ac:dyDescent="0.3">
      <c r="A46" s="2">
        <f t="shared" si="0"/>
        <v>45</v>
      </c>
      <c r="B46" s="3">
        <v>45170</v>
      </c>
      <c r="C46" s="4">
        <v>98.634811401367188</v>
      </c>
      <c r="D46" s="6">
        <v>58785.386149999998</v>
      </c>
      <c r="E46" s="6">
        <v>19638.3</v>
      </c>
      <c r="F46" s="6">
        <v>83.03</v>
      </c>
    </row>
    <row r="47" spans="1:6" x14ac:dyDescent="0.3">
      <c r="A47" s="2">
        <f t="shared" si="0"/>
        <v>46</v>
      </c>
      <c r="B47" s="3">
        <v>45200</v>
      </c>
      <c r="C47" s="4">
        <v>197.88700866699219</v>
      </c>
      <c r="D47" s="6">
        <v>58852.666100000002</v>
      </c>
      <c r="E47" s="6">
        <v>19079.599999999999</v>
      </c>
      <c r="F47" s="6">
        <v>83.256</v>
      </c>
    </row>
    <row r="48" spans="1:6" x14ac:dyDescent="0.3">
      <c r="A48" s="2">
        <f t="shared" si="0"/>
        <v>47</v>
      </c>
      <c r="B48" s="3">
        <v>45231</v>
      </c>
      <c r="C48" s="4">
        <v>156.69613647460938</v>
      </c>
      <c r="D48" s="6">
        <v>60769.274669999999</v>
      </c>
      <c r="E48" s="6">
        <v>20133.150000000001</v>
      </c>
      <c r="F48" s="6">
        <v>83.356999999999999</v>
      </c>
    </row>
    <row r="49" spans="1:6" x14ac:dyDescent="0.3">
      <c r="A49" s="2">
        <f t="shared" si="0"/>
        <v>48</v>
      </c>
      <c r="B49" s="3">
        <v>45261</v>
      </c>
      <c r="C49" s="4">
        <v>142.27946472167969</v>
      </c>
      <c r="D49" s="6">
        <v>62218.703589999997</v>
      </c>
      <c r="E49" s="6">
        <v>21731.4</v>
      </c>
      <c r="F49" s="6">
        <v>83.19</v>
      </c>
    </row>
    <row r="50" spans="1:6" x14ac:dyDescent="0.3">
      <c r="A50" s="2">
        <f t="shared" si="0"/>
        <v>49</v>
      </c>
      <c r="B50" s="3">
        <v>45292</v>
      </c>
      <c r="C50" s="4">
        <v>160.3736572265625</v>
      </c>
      <c r="D50" s="6">
        <v>62336.273500000003</v>
      </c>
      <c r="E50" s="6">
        <v>21725.7</v>
      </c>
      <c r="F50" s="6">
        <v>83.094999999999999</v>
      </c>
    </row>
    <row r="51" spans="1:6" x14ac:dyDescent="0.3">
      <c r="A51" s="2">
        <f t="shared" si="0"/>
        <v>50</v>
      </c>
      <c r="B51" s="3">
        <v>45323</v>
      </c>
      <c r="C51" s="4">
        <v>146.59817504882813</v>
      </c>
      <c r="D51" s="6">
        <v>62030.713730000003</v>
      </c>
      <c r="E51" s="6">
        <v>21982.799999999999</v>
      </c>
      <c r="F51" s="6">
        <v>82.9</v>
      </c>
    </row>
    <row r="52" spans="1:6" x14ac:dyDescent="0.3">
      <c r="A52" s="2">
        <f t="shared" si="0"/>
        <v>51</v>
      </c>
      <c r="B52" s="3">
        <v>45352</v>
      </c>
      <c r="C52" s="4">
        <v>133.21316528320313</v>
      </c>
      <c r="D52" s="6">
        <v>65305.701289999997</v>
      </c>
      <c r="E52" s="6">
        <v>22326.9</v>
      </c>
      <c r="F52" s="6">
        <v>83.35</v>
      </c>
    </row>
    <row r="53" spans="1:6" x14ac:dyDescent="0.3">
      <c r="A53" s="2">
        <f t="shared" si="0"/>
        <v>52</v>
      </c>
      <c r="B53" s="3">
        <v>45383</v>
      </c>
      <c r="C53" s="4">
        <v>163.94734191894531</v>
      </c>
      <c r="D53" s="6">
        <v>71481.626680000001</v>
      </c>
      <c r="E53" s="6">
        <v>22604.85</v>
      </c>
      <c r="F53" s="6">
        <v>83.45</v>
      </c>
    </row>
    <row r="54" spans="1:6" x14ac:dyDescent="0.3">
      <c r="A54" s="2">
        <f t="shared" si="0"/>
        <v>53</v>
      </c>
      <c r="B54" s="3">
        <v>45413</v>
      </c>
      <c r="C54" s="4">
        <v>130.52186584472656</v>
      </c>
      <c r="D54" s="6">
        <v>72180.336160000006</v>
      </c>
      <c r="E54" s="6">
        <v>22530.7</v>
      </c>
      <c r="F54" s="6">
        <v>83.424000000000007</v>
      </c>
    </row>
    <row r="55" spans="1:6" x14ac:dyDescent="0.3">
      <c r="A55" s="2">
        <f t="shared" si="0"/>
        <v>54</v>
      </c>
      <c r="B55" s="3">
        <v>45444</v>
      </c>
      <c r="C55" s="4">
        <v>113.09279632568359</v>
      </c>
      <c r="D55" s="6">
        <v>71545.746629999994</v>
      </c>
      <c r="E55" s="6">
        <v>24010.6</v>
      </c>
      <c r="F55" s="6">
        <v>83.355000000000004</v>
      </c>
    </row>
    <row r="56" spans="1:6" x14ac:dyDescent="0.3">
      <c r="A56" s="2">
        <f t="shared" si="0"/>
        <v>55</v>
      </c>
      <c r="B56" s="3">
        <v>45474</v>
      </c>
      <c r="C56" s="4">
        <v>92.394874572753906</v>
      </c>
      <c r="D56" s="6">
        <v>71379.59676</v>
      </c>
      <c r="E56" s="6">
        <v>24951.15</v>
      </c>
      <c r="F56" s="6">
        <v>83.698999999999998</v>
      </c>
    </row>
    <row r="57" spans="1:6" x14ac:dyDescent="0.3">
      <c r="A57" s="2">
        <f t="shared" si="0"/>
        <v>56</v>
      </c>
      <c r="B57" s="3">
        <v>45505</v>
      </c>
      <c r="C57" s="4">
        <v>140.97506713867188</v>
      </c>
      <c r="D57" s="6">
        <v>70380.707500000004</v>
      </c>
      <c r="E57" s="6">
        <v>25235.9</v>
      </c>
      <c r="F57" s="6">
        <v>83.867000000000004</v>
      </c>
    </row>
    <row r="58" spans="1:6" x14ac:dyDescent="0.3">
      <c r="A58" s="2">
        <f t="shared" si="0"/>
        <v>57</v>
      </c>
      <c r="B58" s="3">
        <v>45536</v>
      </c>
      <c r="C58" s="4">
        <v>130.35877990722656</v>
      </c>
      <c r="D58" s="6">
        <v>72882.655639999997</v>
      </c>
      <c r="E58" s="6">
        <v>25810.85</v>
      </c>
      <c r="F58" s="6">
        <v>83.754999999999995</v>
      </c>
    </row>
    <row r="59" spans="1:6" x14ac:dyDescent="0.3">
      <c r="A59" s="2">
        <f t="shared" si="0"/>
        <v>58</v>
      </c>
      <c r="B59" s="3">
        <v>45566</v>
      </c>
      <c r="C59" s="4">
        <v>130.689208984375</v>
      </c>
      <c r="D59" s="6">
        <v>76706.532779999994</v>
      </c>
      <c r="E59" s="6">
        <v>24205.35</v>
      </c>
      <c r="F59" s="6">
        <v>84.061000000000007</v>
      </c>
    </row>
    <row r="60" spans="1:6" x14ac:dyDescent="0.3">
      <c r="A60" s="2">
        <f t="shared" si="0"/>
        <v>59</v>
      </c>
      <c r="B60" s="3">
        <v>45597</v>
      </c>
      <c r="C60" s="4">
        <v>128.90164184570313</v>
      </c>
      <c r="D60" s="6">
        <v>76268.423110000003</v>
      </c>
      <c r="E60" s="6">
        <v>24131.1</v>
      </c>
      <c r="F60" s="6">
        <v>84.558999999999997</v>
      </c>
    </row>
    <row r="61" spans="1:6" x14ac:dyDescent="0.3">
      <c r="A61" s="2">
        <f t="shared" si="0"/>
        <v>60</v>
      </c>
      <c r="B61" s="3">
        <v>45627</v>
      </c>
      <c r="C61" s="4">
        <v>142.36643981933594</v>
      </c>
      <c r="D61" s="6">
        <v>76219.373149999999</v>
      </c>
      <c r="E61" s="6">
        <v>23644.799999999999</v>
      </c>
      <c r="F61" s="6">
        <v>85.554000000000002</v>
      </c>
    </row>
    <row r="62" spans="1:6" x14ac:dyDescent="0.3">
      <c r="A62" s="2">
        <f t="shared" si="0"/>
        <v>61</v>
      </c>
      <c r="B62" s="3">
        <v>45658</v>
      </c>
      <c r="C62" s="4">
        <v>112.33326721191406</v>
      </c>
      <c r="D62" s="6">
        <v>78634.771349999995</v>
      </c>
      <c r="E62" s="6">
        <v>23508.400000000001</v>
      </c>
      <c r="F62" s="6">
        <v>86.561000000000007</v>
      </c>
    </row>
    <row r="63" spans="1:6" x14ac:dyDescent="0.3">
      <c r="A63" s="2">
        <f t="shared" si="0"/>
        <v>62</v>
      </c>
      <c r="B63" s="3">
        <v>45689</v>
      </c>
      <c r="C63" s="4">
        <v>136.42637634277344</v>
      </c>
      <c r="D63" s="6">
        <v>85081.936539999995</v>
      </c>
      <c r="E63" s="6">
        <v>22124.7</v>
      </c>
      <c r="F63" s="6">
        <v>87.471000000000004</v>
      </c>
    </row>
    <row r="64" spans="1:6" x14ac:dyDescent="0.3">
      <c r="A64" s="2">
        <f t="shared" si="0"/>
        <v>63</v>
      </c>
      <c r="B64" s="3">
        <v>45717</v>
      </c>
      <c r="C64" s="4">
        <v>175.44340515136719</v>
      </c>
      <c r="D64" s="6">
        <v>86940.885150000002</v>
      </c>
      <c r="E64" s="6">
        <v>23519.35</v>
      </c>
      <c r="F64" s="6">
        <v>85.46</v>
      </c>
    </row>
    <row r="65" spans="1:6" x14ac:dyDescent="0.3">
      <c r="A65" s="2">
        <f t="shared" si="0"/>
        <v>64</v>
      </c>
      <c r="B65" s="3">
        <v>45748</v>
      </c>
      <c r="C65" s="4">
        <v>139.71894836425781</v>
      </c>
      <c r="D65" s="6">
        <v>92838.260750000001</v>
      </c>
      <c r="E65" s="6">
        <v>24334.2</v>
      </c>
      <c r="F65" s="6">
        <v>84.599000000000004</v>
      </c>
    </row>
    <row r="66" spans="1:6" x14ac:dyDescent="0.3">
      <c r="A66" s="2">
        <f t="shared" si="0"/>
        <v>65</v>
      </c>
      <c r="B66" s="3">
        <v>45778</v>
      </c>
      <c r="C66" s="4">
        <v>165.81121826171875</v>
      </c>
      <c r="D66" s="6">
        <v>94645.979399999997</v>
      </c>
      <c r="E66" s="6">
        <v>24750.7</v>
      </c>
      <c r="F66" s="6">
        <v>85.525000000000006</v>
      </c>
    </row>
    <row r="67" spans="1:6" x14ac:dyDescent="0.3">
      <c r="A67" s="2">
        <f t="shared" si="0"/>
        <v>66</v>
      </c>
      <c r="B67" s="3">
        <v>45809</v>
      </c>
      <c r="C67" s="4">
        <v>222.19857788085938</v>
      </c>
      <c r="D67" s="6">
        <v>97154.497529999993</v>
      </c>
      <c r="E67" s="6">
        <v>25517.05</v>
      </c>
      <c r="F67" s="6">
        <v>85.7</v>
      </c>
    </row>
    <row r="68" spans="1:6" x14ac:dyDescent="0.3">
      <c r="A68" s="2">
        <f t="shared" ref="A68:A72" si="1">A67+1</f>
        <v>67</v>
      </c>
      <c r="B68" s="3">
        <v>45839</v>
      </c>
      <c r="C68" s="4">
        <v>134.79460144042969</v>
      </c>
      <c r="D68" s="6">
        <v>97560.407229999997</v>
      </c>
      <c r="E68" s="6">
        <v>24768.35</v>
      </c>
      <c r="F68" s="6">
        <v>87.524000000000001</v>
      </c>
    </row>
    <row r="69" spans="1:6" x14ac:dyDescent="0.3">
      <c r="A69" s="2">
        <f t="shared" si="1"/>
        <v>68</v>
      </c>
      <c r="B69" s="3">
        <v>45870</v>
      </c>
      <c r="C69" s="4">
        <v>136.74961853027344</v>
      </c>
      <c r="D69" s="6">
        <v>99704.675629999998</v>
      </c>
      <c r="E69" s="6">
        <v>24426.85</v>
      </c>
      <c r="F69" s="6">
        <v>88.174000000000007</v>
      </c>
    </row>
    <row r="70" spans="1:6" x14ac:dyDescent="0.3">
      <c r="A70" s="2">
        <f t="shared" si="1"/>
        <v>69</v>
      </c>
      <c r="B70" s="3">
        <v>45901</v>
      </c>
      <c r="C70" s="4">
        <v>124.10614776611328</v>
      </c>
      <c r="D70" s="6">
        <v>109576.0583</v>
      </c>
      <c r="E70" s="6">
        <v>24611.1</v>
      </c>
      <c r="F70" s="6">
        <v>88.840999999999994</v>
      </c>
    </row>
    <row r="71" spans="1:6" x14ac:dyDescent="0.3">
      <c r="A71" s="2">
        <f t="shared" si="1"/>
        <v>70</v>
      </c>
      <c r="B71" s="3">
        <v>45931</v>
      </c>
      <c r="C71" s="4">
        <v>154.43557739257813</v>
      </c>
      <c r="D71" s="6">
        <v>122815.22840000001</v>
      </c>
      <c r="E71" s="6">
        <v>25722.1</v>
      </c>
      <c r="F71" s="6">
        <v>88.769000000000005</v>
      </c>
    </row>
    <row r="72" spans="1:6" x14ac:dyDescent="0.3">
      <c r="A72" s="2">
        <f t="shared" si="1"/>
        <v>71</v>
      </c>
      <c r="B72" s="3">
        <v>45962</v>
      </c>
      <c r="C72" s="4">
        <v>99.912399291992188</v>
      </c>
      <c r="D72" s="6">
        <v>122847.55839999999</v>
      </c>
      <c r="E72" s="6">
        <v>26202.95</v>
      </c>
      <c r="F72" s="6">
        <v>89.356999999999999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8056-6A75-4FDE-82B4-8843CCA5B907}">
  <dimension ref="A1:H72"/>
  <sheetViews>
    <sheetView topLeftCell="C1" workbookViewId="0">
      <selection activeCell="G74" sqref="G74"/>
    </sheetView>
  </sheetViews>
  <sheetFormatPr defaultRowHeight="14.4" x14ac:dyDescent="0.3"/>
  <cols>
    <col min="1" max="1" width="5" style="2" hidden="1" customWidth="1"/>
    <col min="2" max="2" width="10.33203125" style="8" bestFit="1" customWidth="1"/>
    <col min="3" max="3" width="8.88671875" style="2"/>
    <col min="4" max="4" width="9.5546875" style="6" bestFit="1" customWidth="1"/>
    <col min="5" max="5" width="10.44140625" style="6" bestFit="1" customWidth="1"/>
    <col min="6" max="6" width="8.88671875" style="6"/>
    <col min="7" max="16384" width="8.88671875" style="2"/>
  </cols>
  <sheetData>
    <row r="1" spans="1:8" x14ac:dyDescent="0.3">
      <c r="A1" s="1" t="s">
        <v>1</v>
      </c>
      <c r="B1" s="7" t="s">
        <v>0</v>
      </c>
      <c r="C1" s="1" t="s">
        <v>2</v>
      </c>
      <c r="D1" s="5" t="s">
        <v>3</v>
      </c>
      <c r="E1" s="5" t="s">
        <v>4</v>
      </c>
      <c r="F1" s="5" t="s">
        <v>8</v>
      </c>
      <c r="H1" s="1" t="s">
        <v>9</v>
      </c>
    </row>
    <row r="2" spans="1:8" x14ac:dyDescent="0.3">
      <c r="A2" s="2">
        <v>1</v>
      </c>
      <c r="B2" s="8">
        <v>43831</v>
      </c>
      <c r="C2" s="4">
        <v>138.42094421386719</v>
      </c>
      <c r="D2" s="6">
        <v>39991.54017</v>
      </c>
      <c r="E2" s="6">
        <v>11962.1</v>
      </c>
      <c r="F2" s="6">
        <v>71.540000000000006</v>
      </c>
    </row>
    <row r="3" spans="1:8" x14ac:dyDescent="0.3">
      <c r="A3" s="2">
        <f>A2+1</f>
        <v>2</v>
      </c>
      <c r="B3" s="8">
        <v>43862</v>
      </c>
      <c r="C3" s="4">
        <v>75.955558776855469</v>
      </c>
      <c r="D3" s="6">
        <v>41196.719270000001</v>
      </c>
      <c r="E3" s="6">
        <v>11201.75</v>
      </c>
      <c r="F3" s="6">
        <v>72.534000000000006</v>
      </c>
    </row>
    <row r="4" spans="1:8" x14ac:dyDescent="0.3">
      <c r="A4" s="2">
        <f t="shared" ref="A4:A67" si="0">A3+1</f>
        <v>3</v>
      </c>
      <c r="B4" s="8">
        <v>43891</v>
      </c>
      <c r="C4" s="4">
        <v>81.540031433105497</v>
      </c>
      <c r="D4" s="6">
        <v>41726.918879999997</v>
      </c>
      <c r="E4" s="6">
        <v>8597.75</v>
      </c>
      <c r="F4" s="6">
        <v>75.332999999999998</v>
      </c>
    </row>
    <row r="5" spans="1:8" x14ac:dyDescent="0.3">
      <c r="A5" s="2">
        <f t="shared" si="0"/>
        <v>4</v>
      </c>
      <c r="B5" s="8">
        <v>43922</v>
      </c>
      <c r="C5" s="4">
        <v>69.339401245117188</v>
      </c>
      <c r="D5" s="6">
        <v>40988.969429999997</v>
      </c>
      <c r="E5" s="6">
        <v>9859.9</v>
      </c>
      <c r="F5" s="6">
        <v>75.076999999999998</v>
      </c>
    </row>
    <row r="6" spans="1:8" x14ac:dyDescent="0.3">
      <c r="A6" s="2">
        <f t="shared" si="0"/>
        <v>5</v>
      </c>
      <c r="B6" s="8">
        <v>43952</v>
      </c>
      <c r="C6" s="4">
        <v>68.507217407226563</v>
      </c>
      <c r="D6" s="6">
        <v>40988.969429999997</v>
      </c>
      <c r="E6" s="6">
        <v>9580.2999999999993</v>
      </c>
      <c r="F6" s="6">
        <v>75.59</v>
      </c>
    </row>
    <row r="7" spans="1:8" x14ac:dyDescent="0.3">
      <c r="A7" s="2">
        <f t="shared" si="0"/>
        <v>6</v>
      </c>
      <c r="B7" s="8">
        <v>43983</v>
      </c>
      <c r="C7" s="4">
        <v>71.227859497070313</v>
      </c>
      <c r="D7" s="6">
        <v>46781.285109999997</v>
      </c>
      <c r="E7" s="6">
        <v>10302.1</v>
      </c>
      <c r="F7" s="6">
        <v>75.540000000000006</v>
      </c>
    </row>
    <row r="8" spans="1:8" x14ac:dyDescent="0.3">
      <c r="A8" s="2">
        <f t="shared" si="0"/>
        <v>7</v>
      </c>
      <c r="B8" s="8">
        <v>44013</v>
      </c>
      <c r="C8" s="4">
        <v>66.473281860351563</v>
      </c>
      <c r="D8" s="6">
        <v>49912.79277</v>
      </c>
      <c r="E8" s="6">
        <v>11073.45</v>
      </c>
      <c r="F8" s="6">
        <v>74.915999999999997</v>
      </c>
    </row>
    <row r="9" spans="1:8" x14ac:dyDescent="0.3">
      <c r="A9" s="2">
        <f t="shared" si="0"/>
        <v>8</v>
      </c>
      <c r="B9" s="8">
        <v>44044</v>
      </c>
      <c r="C9" s="4">
        <v>65.466049194335938</v>
      </c>
      <c r="D9" s="6">
        <v>53038.150439999998</v>
      </c>
      <c r="E9" s="6">
        <v>11387.5</v>
      </c>
      <c r="F9" s="6">
        <v>73.254000000000005</v>
      </c>
    </row>
    <row r="10" spans="1:8" x14ac:dyDescent="0.3">
      <c r="A10" s="2">
        <f t="shared" si="0"/>
        <v>9</v>
      </c>
      <c r="B10" s="8">
        <v>44075</v>
      </c>
      <c r="C10" s="4">
        <v>80.37738037109375</v>
      </c>
      <c r="D10" s="6">
        <v>50901.282030000002</v>
      </c>
      <c r="E10" s="6">
        <v>11247.55</v>
      </c>
      <c r="F10" s="6">
        <v>73.56</v>
      </c>
    </row>
    <row r="11" spans="1:8" x14ac:dyDescent="0.3">
      <c r="A11" s="2">
        <f t="shared" si="0"/>
        <v>10</v>
      </c>
      <c r="B11" s="8">
        <v>44105</v>
      </c>
      <c r="C11" s="4">
        <v>76.083168029785156</v>
      </c>
      <c r="D11" s="6">
        <v>50715.532169999999</v>
      </c>
      <c r="E11" s="6">
        <v>11642.4</v>
      </c>
      <c r="F11" s="6">
        <v>74.554000000000002</v>
      </c>
    </row>
    <row r="12" spans="1:8" x14ac:dyDescent="0.3">
      <c r="A12" s="2">
        <f t="shared" si="0"/>
        <v>11</v>
      </c>
      <c r="B12" s="8">
        <v>44136</v>
      </c>
      <c r="C12" s="4">
        <v>70.067466735839844</v>
      </c>
      <c r="D12" s="6">
        <v>50407.232400000001</v>
      </c>
      <c r="E12" s="6">
        <v>12968.95</v>
      </c>
      <c r="F12" s="6">
        <v>73.989999999999995</v>
      </c>
    </row>
    <row r="13" spans="1:8" x14ac:dyDescent="0.3">
      <c r="A13" s="2">
        <f t="shared" si="0"/>
        <v>12</v>
      </c>
      <c r="B13" s="8">
        <v>44166</v>
      </c>
      <c r="C13" s="4">
        <v>64.067291259765625</v>
      </c>
      <c r="D13" s="6">
        <v>49467.413099999998</v>
      </c>
      <c r="E13" s="6">
        <v>13981.75</v>
      </c>
      <c r="F13" s="6">
        <v>73.036000000000001</v>
      </c>
    </row>
    <row r="14" spans="1:8" x14ac:dyDescent="0.3">
      <c r="A14" s="2">
        <f t="shared" si="0"/>
        <v>13</v>
      </c>
      <c r="B14" s="8">
        <v>44197</v>
      </c>
      <c r="C14" s="4">
        <v>77.418701171875</v>
      </c>
      <c r="D14" s="6">
        <v>49639.122969999997</v>
      </c>
      <c r="E14" s="6">
        <v>13634.6</v>
      </c>
      <c r="F14" s="6">
        <v>72.876999999999995</v>
      </c>
    </row>
    <row r="15" spans="1:8" x14ac:dyDescent="0.3">
      <c r="A15" s="2">
        <f t="shared" si="0"/>
        <v>14</v>
      </c>
      <c r="B15" s="8">
        <v>44228</v>
      </c>
      <c r="C15" s="4">
        <v>73.956802368164063</v>
      </c>
      <c r="D15" s="6">
        <v>47141.514840000003</v>
      </c>
      <c r="E15" s="6">
        <v>14529.15</v>
      </c>
      <c r="F15" s="6">
        <v>73.92</v>
      </c>
    </row>
    <row r="16" spans="1:8" x14ac:dyDescent="0.3">
      <c r="A16" s="2">
        <f t="shared" si="0"/>
        <v>15</v>
      </c>
      <c r="B16" s="8">
        <v>44256</v>
      </c>
      <c r="C16" s="4">
        <v>78.618766784667969</v>
      </c>
      <c r="D16" s="6">
        <v>44649.4467</v>
      </c>
      <c r="E16" s="6">
        <v>14690.7</v>
      </c>
      <c r="F16" s="6">
        <v>73.137</v>
      </c>
    </row>
    <row r="17" spans="1:6" x14ac:dyDescent="0.3">
      <c r="A17" s="2">
        <f t="shared" si="0"/>
        <v>16</v>
      </c>
      <c r="B17" s="8">
        <v>44287</v>
      </c>
      <c r="C17" s="4">
        <v>88.166221618652344</v>
      </c>
      <c r="D17" s="6">
        <v>46724.255149999997</v>
      </c>
      <c r="E17" s="6">
        <v>14631.1</v>
      </c>
      <c r="F17" s="6">
        <v>74.05</v>
      </c>
    </row>
    <row r="18" spans="1:6" x14ac:dyDescent="0.3">
      <c r="A18" s="2">
        <f t="shared" si="0"/>
        <v>17</v>
      </c>
      <c r="B18" s="8">
        <v>44317</v>
      </c>
      <c r="C18" s="4">
        <v>93.007133483886719</v>
      </c>
      <c r="D18" s="6">
        <v>47889.444280000003</v>
      </c>
      <c r="E18" s="6">
        <v>15582.8</v>
      </c>
      <c r="F18" s="6">
        <v>72.510999999999996</v>
      </c>
    </row>
    <row r="19" spans="1:6" x14ac:dyDescent="0.3">
      <c r="A19" s="2">
        <f t="shared" si="0"/>
        <v>18</v>
      </c>
      <c r="B19" s="8">
        <v>44348</v>
      </c>
      <c r="C19" s="4">
        <v>74.127120971679688</v>
      </c>
      <c r="D19" s="6">
        <v>47902.914270000001</v>
      </c>
      <c r="E19" s="6">
        <v>15721.5</v>
      </c>
      <c r="F19" s="6">
        <v>74.36</v>
      </c>
    </row>
    <row r="20" spans="1:6" x14ac:dyDescent="0.3">
      <c r="A20" s="2">
        <f t="shared" si="0"/>
        <v>19</v>
      </c>
      <c r="B20" s="8">
        <v>44378</v>
      </c>
      <c r="C20" s="4">
        <v>58.420768737792969</v>
      </c>
      <c r="D20" s="6">
        <v>47791.964350000002</v>
      </c>
      <c r="E20" s="6">
        <v>15763.05</v>
      </c>
      <c r="F20" s="6">
        <v>74.337000000000003</v>
      </c>
    </row>
    <row r="21" spans="1:6" x14ac:dyDescent="0.3">
      <c r="A21" s="2">
        <f t="shared" si="0"/>
        <v>20</v>
      </c>
      <c r="B21" s="8">
        <v>44409</v>
      </c>
      <c r="C21" s="4">
        <v>89.486549377441406</v>
      </c>
      <c r="D21" s="6">
        <v>47097.604870000003</v>
      </c>
      <c r="E21" s="6">
        <v>17132.2</v>
      </c>
      <c r="F21" s="6">
        <v>72.947000000000003</v>
      </c>
    </row>
    <row r="22" spans="1:6" x14ac:dyDescent="0.3">
      <c r="A22" s="2">
        <f t="shared" si="0"/>
        <v>21</v>
      </c>
      <c r="B22" s="8">
        <v>44440</v>
      </c>
      <c r="C22" s="4">
        <v>80.696968078613281</v>
      </c>
      <c r="D22" s="6">
        <v>46589.055249999998</v>
      </c>
      <c r="E22" s="6">
        <v>17618.150000000001</v>
      </c>
      <c r="F22" s="6">
        <v>74.164000000000001</v>
      </c>
    </row>
    <row r="23" spans="1:6" x14ac:dyDescent="0.3">
      <c r="A23" s="2">
        <f t="shared" si="0"/>
        <v>22</v>
      </c>
      <c r="B23" s="8">
        <v>44470</v>
      </c>
      <c r="C23" s="4">
        <v>79.02923583984375</v>
      </c>
      <c r="D23" s="6">
        <v>47251.584759999998</v>
      </c>
      <c r="E23" s="6">
        <v>17671.650000000001</v>
      </c>
      <c r="F23" s="6">
        <v>74.915000000000006</v>
      </c>
    </row>
    <row r="24" spans="1:6" x14ac:dyDescent="0.3">
      <c r="A24" s="2">
        <f t="shared" si="0"/>
        <v>23</v>
      </c>
      <c r="B24" s="8">
        <v>44501</v>
      </c>
      <c r="C24" s="4">
        <v>86.569145202636719</v>
      </c>
      <c r="D24" s="6">
        <v>48162.914080000002</v>
      </c>
      <c r="E24" s="6">
        <v>16983.2</v>
      </c>
      <c r="F24" s="6">
        <v>75.09</v>
      </c>
    </row>
    <row r="25" spans="1:6" x14ac:dyDescent="0.3">
      <c r="A25" s="2">
        <f t="shared" si="0"/>
        <v>24</v>
      </c>
      <c r="B25" s="8">
        <v>44531</v>
      </c>
      <c r="C25" s="4">
        <v>105.34542083740234</v>
      </c>
      <c r="D25" s="6">
        <v>47900.134270000002</v>
      </c>
      <c r="E25" s="6">
        <v>17354.05</v>
      </c>
      <c r="F25" s="6">
        <v>74.466999999999999</v>
      </c>
    </row>
    <row r="26" spans="1:6" x14ac:dyDescent="0.3">
      <c r="A26" s="2">
        <f t="shared" si="0"/>
        <v>25</v>
      </c>
      <c r="B26" s="8">
        <v>44562</v>
      </c>
      <c r="C26" s="4">
        <v>138.67498779296875</v>
      </c>
      <c r="D26" s="6">
        <v>47983.414210000003</v>
      </c>
      <c r="E26" s="6">
        <v>17339.849999999999</v>
      </c>
      <c r="F26" s="6">
        <v>74.528999999999996</v>
      </c>
    </row>
    <row r="27" spans="1:6" x14ac:dyDescent="0.3">
      <c r="A27" s="2">
        <f t="shared" si="0"/>
        <v>26</v>
      </c>
      <c r="B27" s="8">
        <v>44593</v>
      </c>
      <c r="C27" s="4">
        <v>216.15901184082031</v>
      </c>
      <c r="D27" s="6">
        <v>49279.413240000002</v>
      </c>
      <c r="E27" s="6">
        <v>16793.900000000001</v>
      </c>
      <c r="F27" s="6">
        <v>75.492999999999995</v>
      </c>
    </row>
    <row r="28" spans="1:6" x14ac:dyDescent="0.3">
      <c r="A28" s="2">
        <f t="shared" si="0"/>
        <v>27</v>
      </c>
      <c r="B28" s="8">
        <v>44621</v>
      </c>
      <c r="C28" s="4">
        <v>318.95492553710938</v>
      </c>
      <c r="D28" s="6">
        <v>51672.351459999998</v>
      </c>
      <c r="E28" s="6">
        <v>17464.75</v>
      </c>
      <c r="F28" s="6">
        <v>75.900999999999996</v>
      </c>
    </row>
    <row r="29" spans="1:6" x14ac:dyDescent="0.3">
      <c r="A29" s="2">
        <f t="shared" si="0"/>
        <v>28</v>
      </c>
      <c r="B29" s="8">
        <v>44652</v>
      </c>
      <c r="C29" s="4">
        <v>191.14309692382813</v>
      </c>
      <c r="D29" s="6">
        <v>52057.861169999996</v>
      </c>
      <c r="E29" s="6">
        <v>17102.55</v>
      </c>
      <c r="F29" s="6">
        <v>76.52</v>
      </c>
    </row>
    <row r="30" spans="1:6" x14ac:dyDescent="0.3">
      <c r="A30" s="2">
        <f t="shared" si="0"/>
        <v>29</v>
      </c>
      <c r="B30" s="8">
        <v>44682</v>
      </c>
      <c r="C30" s="4">
        <v>142.25848388671875</v>
      </c>
      <c r="D30" s="6">
        <v>50887.232040000003</v>
      </c>
      <c r="E30" s="6">
        <v>16584.55</v>
      </c>
      <c r="F30" s="6">
        <v>77.569000000000003</v>
      </c>
    </row>
    <row r="31" spans="1:6" x14ac:dyDescent="0.3">
      <c r="A31" s="2">
        <f t="shared" si="0"/>
        <v>30</v>
      </c>
      <c r="B31" s="8">
        <v>44713</v>
      </c>
      <c r="C31" s="4">
        <v>130.70732116699219</v>
      </c>
      <c r="D31" s="6">
        <v>50808.822099999998</v>
      </c>
      <c r="E31" s="6">
        <v>15780.25</v>
      </c>
      <c r="F31" s="6">
        <v>78.95</v>
      </c>
    </row>
    <row r="32" spans="1:6" x14ac:dyDescent="0.3">
      <c r="A32" s="2">
        <f t="shared" si="0"/>
        <v>31</v>
      </c>
      <c r="B32" s="8">
        <v>44743</v>
      </c>
      <c r="C32" s="4">
        <v>117.17676544189453</v>
      </c>
      <c r="D32" s="6">
        <v>50752.962140000003</v>
      </c>
      <c r="E32" s="6">
        <v>17158.25</v>
      </c>
      <c r="F32" s="6">
        <v>79.335999999999999</v>
      </c>
    </row>
    <row r="33" spans="1:6" x14ac:dyDescent="0.3">
      <c r="A33" s="2">
        <f t="shared" si="0"/>
        <v>32</v>
      </c>
      <c r="B33" s="8">
        <v>44774</v>
      </c>
      <c r="C33" s="4">
        <v>132.86322021484375</v>
      </c>
      <c r="D33" s="6">
        <v>51635.051489999998</v>
      </c>
      <c r="E33" s="6">
        <v>17759.3</v>
      </c>
      <c r="F33" s="6">
        <v>79.491</v>
      </c>
    </row>
    <row r="34" spans="1:6" x14ac:dyDescent="0.3">
      <c r="A34" s="2">
        <f t="shared" si="0"/>
        <v>33</v>
      </c>
      <c r="B34" s="8">
        <v>44805</v>
      </c>
      <c r="C34" s="4">
        <v>131.98587036132813</v>
      </c>
      <c r="D34" s="6">
        <v>49957.012739999998</v>
      </c>
      <c r="E34" s="6">
        <v>17094.349999999999</v>
      </c>
      <c r="F34" s="6">
        <v>81.509</v>
      </c>
    </row>
    <row r="35" spans="1:6" x14ac:dyDescent="0.3">
      <c r="A35" s="2">
        <f t="shared" si="0"/>
        <v>34</v>
      </c>
      <c r="B35" s="8">
        <v>44835</v>
      </c>
      <c r="C35" s="4">
        <v>143.16241455078125</v>
      </c>
      <c r="D35" s="6">
        <v>50372.482429999996</v>
      </c>
      <c r="E35" s="6">
        <v>18012.2</v>
      </c>
      <c r="F35" s="6">
        <v>82.77</v>
      </c>
    </row>
    <row r="36" spans="1:6" x14ac:dyDescent="0.3">
      <c r="A36" s="2">
        <f t="shared" si="0"/>
        <v>35</v>
      </c>
      <c r="B36" s="8">
        <v>44866</v>
      </c>
      <c r="C36" s="4">
        <v>116.71628570556641</v>
      </c>
      <c r="D36" s="6">
        <v>51843.821329999999</v>
      </c>
      <c r="E36" s="6">
        <v>18758.349999999999</v>
      </c>
      <c r="F36" s="6">
        <v>81.358999999999995</v>
      </c>
    </row>
    <row r="37" spans="1:6" x14ac:dyDescent="0.3">
      <c r="A37" s="2">
        <f t="shared" si="0"/>
        <v>36</v>
      </c>
      <c r="B37" s="8">
        <v>44896</v>
      </c>
      <c r="C37" s="4">
        <v>111.19593811035156</v>
      </c>
      <c r="D37" s="6">
        <v>53928.689769999997</v>
      </c>
      <c r="E37" s="6">
        <v>18105.3</v>
      </c>
      <c r="F37" s="6">
        <v>82.716999999999999</v>
      </c>
    </row>
    <row r="38" spans="1:6" x14ac:dyDescent="0.3">
      <c r="A38" s="2">
        <f t="shared" si="0"/>
        <v>37</v>
      </c>
      <c r="B38" s="8">
        <v>44927</v>
      </c>
      <c r="C38" s="4">
        <v>104.26704406738281</v>
      </c>
      <c r="D38" s="6">
        <v>56221.668060000004</v>
      </c>
      <c r="E38" s="6">
        <v>17662.150000000001</v>
      </c>
      <c r="F38" s="6">
        <v>81.739000000000004</v>
      </c>
    </row>
    <row r="39" spans="1:6" x14ac:dyDescent="0.3">
      <c r="A39" s="2">
        <f t="shared" si="0"/>
        <v>38</v>
      </c>
      <c r="B39" s="8">
        <v>44958</v>
      </c>
      <c r="C39" s="4">
        <v>120.99437713623047</v>
      </c>
      <c r="D39" s="6">
        <v>56655.057739999997</v>
      </c>
      <c r="E39" s="6">
        <v>17303.95</v>
      </c>
      <c r="F39" s="6">
        <v>82.64</v>
      </c>
    </row>
    <row r="40" spans="1:6" x14ac:dyDescent="0.3">
      <c r="A40" s="2">
        <f t="shared" si="0"/>
        <v>39</v>
      </c>
      <c r="B40" s="8">
        <v>44986</v>
      </c>
      <c r="C40" s="4">
        <v>105.37997436523438</v>
      </c>
      <c r="D40" s="6">
        <v>57577.527049999997</v>
      </c>
      <c r="E40" s="6">
        <v>17359.75</v>
      </c>
      <c r="F40" s="6">
        <v>82.16</v>
      </c>
    </row>
    <row r="41" spans="1:6" x14ac:dyDescent="0.3">
      <c r="A41" s="2">
        <f t="shared" si="0"/>
        <v>40</v>
      </c>
      <c r="B41" s="8">
        <v>45017</v>
      </c>
      <c r="C41" s="4">
        <v>106.80965423583984</v>
      </c>
      <c r="D41" s="6">
        <v>60128.425150000003</v>
      </c>
      <c r="E41" s="6">
        <v>18065</v>
      </c>
      <c r="F41" s="6">
        <v>81.72</v>
      </c>
    </row>
    <row r="42" spans="1:6" x14ac:dyDescent="0.3">
      <c r="A42" s="2">
        <f t="shared" si="0"/>
        <v>41</v>
      </c>
      <c r="B42" s="8">
        <v>45047</v>
      </c>
      <c r="C42" s="4">
        <v>108.46768188476563</v>
      </c>
      <c r="D42" s="6">
        <v>60551.864829999999</v>
      </c>
      <c r="E42" s="6">
        <v>18534.400000000001</v>
      </c>
      <c r="F42" s="6">
        <v>82.68</v>
      </c>
    </row>
    <row r="43" spans="1:6" x14ac:dyDescent="0.3">
      <c r="A43" s="2">
        <f t="shared" si="0"/>
        <v>42</v>
      </c>
      <c r="B43" s="8">
        <v>45078</v>
      </c>
      <c r="C43" s="4">
        <v>110.52894592285156</v>
      </c>
      <c r="D43" s="6">
        <v>59023.005969999998</v>
      </c>
      <c r="E43" s="6">
        <v>19189.05</v>
      </c>
      <c r="F43" s="6">
        <v>82.090999999999994</v>
      </c>
    </row>
    <row r="44" spans="1:6" x14ac:dyDescent="0.3">
      <c r="A44" s="2">
        <f t="shared" si="0"/>
        <v>43</v>
      </c>
      <c r="B44" s="8">
        <v>45108</v>
      </c>
      <c r="C44" s="4">
        <v>107.44878387451172</v>
      </c>
      <c r="D44" s="6">
        <v>58937.056040000003</v>
      </c>
      <c r="E44" s="6">
        <v>19753.8</v>
      </c>
      <c r="F44" s="6">
        <v>82.24</v>
      </c>
    </row>
    <row r="45" spans="1:6" x14ac:dyDescent="0.3">
      <c r="A45" s="2">
        <f t="shared" si="0"/>
        <v>44</v>
      </c>
      <c r="B45" s="8">
        <v>45139</v>
      </c>
      <c r="C45" s="4">
        <v>101.14118194580078</v>
      </c>
      <c r="D45" s="6">
        <v>58722.136200000001</v>
      </c>
      <c r="E45" s="6">
        <v>19253.8</v>
      </c>
      <c r="F45" s="6">
        <v>82.701999999999998</v>
      </c>
    </row>
    <row r="46" spans="1:6" x14ac:dyDescent="0.3">
      <c r="A46" s="2">
        <f t="shared" si="0"/>
        <v>45</v>
      </c>
      <c r="B46" s="8">
        <v>45170</v>
      </c>
      <c r="C46" s="4">
        <v>98.634811401367188</v>
      </c>
      <c r="D46" s="6">
        <v>58785.386149999998</v>
      </c>
      <c r="E46" s="6">
        <v>19638.3</v>
      </c>
      <c r="F46" s="6">
        <v>83.03</v>
      </c>
    </row>
    <row r="47" spans="1:6" x14ac:dyDescent="0.3">
      <c r="A47" s="2">
        <f t="shared" si="0"/>
        <v>46</v>
      </c>
      <c r="B47" s="8">
        <v>45200</v>
      </c>
      <c r="C47" s="4">
        <v>197.88700866699219</v>
      </c>
      <c r="D47" s="6">
        <v>58852.666100000002</v>
      </c>
      <c r="E47" s="6">
        <v>19079.599999999999</v>
      </c>
      <c r="F47" s="6">
        <v>83.256</v>
      </c>
    </row>
    <row r="48" spans="1:6" x14ac:dyDescent="0.3">
      <c r="A48" s="2">
        <f t="shared" si="0"/>
        <v>47</v>
      </c>
      <c r="B48" s="8">
        <v>45231</v>
      </c>
      <c r="C48" s="4">
        <v>156.69613647460938</v>
      </c>
      <c r="D48" s="6">
        <v>60769.274669999999</v>
      </c>
      <c r="E48" s="6">
        <v>20133.150000000001</v>
      </c>
      <c r="F48" s="6">
        <v>83.356999999999999</v>
      </c>
    </row>
    <row r="49" spans="1:6" x14ac:dyDescent="0.3">
      <c r="A49" s="2">
        <f t="shared" si="0"/>
        <v>48</v>
      </c>
      <c r="B49" s="8">
        <v>45261</v>
      </c>
      <c r="C49" s="4">
        <v>142.27946472167969</v>
      </c>
      <c r="D49" s="6">
        <v>62218.703589999997</v>
      </c>
      <c r="E49" s="6">
        <v>21731.4</v>
      </c>
      <c r="F49" s="6">
        <v>83.19</v>
      </c>
    </row>
    <row r="50" spans="1:6" x14ac:dyDescent="0.3">
      <c r="A50" s="2">
        <f t="shared" si="0"/>
        <v>49</v>
      </c>
      <c r="B50" s="8">
        <v>45292</v>
      </c>
      <c r="C50" s="4">
        <v>160.3736572265625</v>
      </c>
      <c r="D50" s="6">
        <v>62336.273500000003</v>
      </c>
      <c r="E50" s="6">
        <v>21725.7</v>
      </c>
      <c r="F50" s="6">
        <v>83.094999999999999</v>
      </c>
    </row>
    <row r="51" spans="1:6" x14ac:dyDescent="0.3">
      <c r="A51" s="2">
        <f t="shared" si="0"/>
        <v>50</v>
      </c>
      <c r="B51" s="8">
        <v>45323</v>
      </c>
      <c r="C51" s="4">
        <v>146.59817504882813</v>
      </c>
      <c r="D51" s="6">
        <v>62030.713730000003</v>
      </c>
      <c r="E51" s="6">
        <v>21982.799999999999</v>
      </c>
      <c r="F51" s="6">
        <v>82.9</v>
      </c>
    </row>
    <row r="52" spans="1:6" x14ac:dyDescent="0.3">
      <c r="A52" s="2">
        <f t="shared" si="0"/>
        <v>51</v>
      </c>
      <c r="B52" s="8">
        <v>45352</v>
      </c>
      <c r="C52" s="4">
        <v>133.21316528320313</v>
      </c>
      <c r="D52" s="6">
        <v>65305.701289999997</v>
      </c>
      <c r="E52" s="6">
        <v>22326.9</v>
      </c>
      <c r="F52" s="6">
        <v>83.35</v>
      </c>
    </row>
    <row r="53" spans="1:6" x14ac:dyDescent="0.3">
      <c r="A53" s="2">
        <f t="shared" si="0"/>
        <v>52</v>
      </c>
      <c r="B53" s="8">
        <v>45383</v>
      </c>
      <c r="C53" s="4">
        <v>163.94734191894531</v>
      </c>
      <c r="D53" s="6">
        <v>71481.626680000001</v>
      </c>
      <c r="E53" s="6">
        <v>22604.85</v>
      </c>
      <c r="F53" s="6">
        <v>83.45</v>
      </c>
    </row>
    <row r="54" spans="1:6" x14ac:dyDescent="0.3">
      <c r="A54" s="2">
        <f t="shared" si="0"/>
        <v>53</v>
      </c>
      <c r="B54" s="8">
        <v>45413</v>
      </c>
      <c r="C54" s="4">
        <v>130.52186584472656</v>
      </c>
      <c r="D54" s="6">
        <v>72180.336160000006</v>
      </c>
      <c r="E54" s="6">
        <v>22530.7</v>
      </c>
      <c r="F54" s="6">
        <v>83.424000000000007</v>
      </c>
    </row>
    <row r="55" spans="1:6" x14ac:dyDescent="0.3">
      <c r="A55" s="2">
        <f t="shared" si="0"/>
        <v>54</v>
      </c>
      <c r="B55" s="8">
        <v>45444</v>
      </c>
      <c r="C55" s="4">
        <v>113.09279632568359</v>
      </c>
      <c r="D55" s="6">
        <v>71545.746629999994</v>
      </c>
      <c r="E55" s="6">
        <v>24010.6</v>
      </c>
      <c r="F55" s="6">
        <v>83.355000000000004</v>
      </c>
    </row>
    <row r="56" spans="1:6" x14ac:dyDescent="0.3">
      <c r="A56" s="2">
        <f t="shared" si="0"/>
        <v>55</v>
      </c>
      <c r="B56" s="8">
        <v>45474</v>
      </c>
      <c r="C56" s="4">
        <v>92.394874572753906</v>
      </c>
      <c r="D56" s="6">
        <v>71379.59676</v>
      </c>
      <c r="E56" s="6">
        <v>24951.15</v>
      </c>
      <c r="F56" s="6">
        <v>83.698999999999998</v>
      </c>
    </row>
    <row r="57" spans="1:6" x14ac:dyDescent="0.3">
      <c r="A57" s="2">
        <f t="shared" si="0"/>
        <v>56</v>
      </c>
      <c r="B57" s="8">
        <v>45505</v>
      </c>
      <c r="C57" s="4">
        <v>140.97506713867188</v>
      </c>
      <c r="D57" s="6">
        <v>70380.707500000004</v>
      </c>
      <c r="E57" s="6">
        <v>25235.9</v>
      </c>
      <c r="F57" s="6">
        <v>83.867000000000004</v>
      </c>
    </row>
    <row r="58" spans="1:6" x14ac:dyDescent="0.3">
      <c r="A58" s="2">
        <f t="shared" si="0"/>
        <v>57</v>
      </c>
      <c r="B58" s="8">
        <v>45536</v>
      </c>
      <c r="C58" s="4">
        <v>130.35877990722656</v>
      </c>
      <c r="D58" s="6">
        <v>72882.655639999997</v>
      </c>
      <c r="E58" s="6">
        <v>25810.85</v>
      </c>
      <c r="F58" s="6">
        <v>83.754999999999995</v>
      </c>
    </row>
    <row r="59" spans="1:6" x14ac:dyDescent="0.3">
      <c r="A59" s="2">
        <f t="shared" si="0"/>
        <v>58</v>
      </c>
      <c r="B59" s="8">
        <v>45566</v>
      </c>
      <c r="C59" s="4">
        <v>130.689208984375</v>
      </c>
      <c r="D59" s="6">
        <v>76706.532779999994</v>
      </c>
      <c r="E59" s="6">
        <v>24205.35</v>
      </c>
      <c r="F59" s="6">
        <v>84.061000000000007</v>
      </c>
    </row>
    <row r="60" spans="1:6" x14ac:dyDescent="0.3">
      <c r="A60" s="2">
        <f t="shared" si="0"/>
        <v>59</v>
      </c>
      <c r="B60" s="8">
        <v>45597</v>
      </c>
      <c r="C60" s="4">
        <v>128.90164184570313</v>
      </c>
      <c r="D60" s="6">
        <v>76268.423110000003</v>
      </c>
      <c r="E60" s="6">
        <v>24131.1</v>
      </c>
      <c r="F60" s="6">
        <v>84.558999999999997</v>
      </c>
    </row>
    <row r="61" spans="1:6" x14ac:dyDescent="0.3">
      <c r="A61" s="2">
        <f t="shared" si="0"/>
        <v>60</v>
      </c>
      <c r="B61" s="8">
        <v>45627</v>
      </c>
      <c r="C61" s="4">
        <v>142.36643981933594</v>
      </c>
      <c r="D61" s="6">
        <v>76219.373149999999</v>
      </c>
      <c r="E61" s="6">
        <v>23644.799999999999</v>
      </c>
      <c r="F61" s="6">
        <v>85.554000000000002</v>
      </c>
    </row>
    <row r="62" spans="1:6" x14ac:dyDescent="0.3">
      <c r="A62" s="2">
        <f t="shared" si="0"/>
        <v>61</v>
      </c>
      <c r="B62" s="8">
        <v>45658</v>
      </c>
      <c r="C62" s="4">
        <v>112.33326721191406</v>
      </c>
      <c r="D62" s="6">
        <v>78634.771349999995</v>
      </c>
      <c r="E62" s="6">
        <v>23508.400000000001</v>
      </c>
      <c r="F62" s="6">
        <v>86.561000000000007</v>
      </c>
    </row>
    <row r="63" spans="1:6" x14ac:dyDescent="0.3">
      <c r="A63" s="2">
        <f t="shared" si="0"/>
        <v>62</v>
      </c>
      <c r="B63" s="8">
        <v>45689</v>
      </c>
      <c r="C63" s="4">
        <v>136.42637634277344</v>
      </c>
      <c r="D63" s="6">
        <v>85081.936539999995</v>
      </c>
      <c r="E63" s="6">
        <v>22124.7</v>
      </c>
      <c r="F63" s="6">
        <v>87.471000000000004</v>
      </c>
    </row>
    <row r="64" spans="1:6" x14ac:dyDescent="0.3">
      <c r="A64" s="2">
        <f t="shared" si="0"/>
        <v>63</v>
      </c>
      <c r="B64" s="8">
        <v>45717</v>
      </c>
      <c r="C64" s="4">
        <v>175.44340515136719</v>
      </c>
      <c r="D64" s="6">
        <v>86940.885150000002</v>
      </c>
      <c r="E64" s="6">
        <v>23519.35</v>
      </c>
      <c r="F64" s="6">
        <v>85.46</v>
      </c>
    </row>
    <row r="65" spans="1:6" x14ac:dyDescent="0.3">
      <c r="A65" s="2">
        <f t="shared" si="0"/>
        <v>64</v>
      </c>
      <c r="B65" s="8">
        <v>45748</v>
      </c>
      <c r="C65" s="4">
        <v>139.71894836425781</v>
      </c>
      <c r="D65" s="6">
        <v>92838.260750000001</v>
      </c>
      <c r="E65" s="6">
        <v>24334.2</v>
      </c>
      <c r="F65" s="6">
        <v>84.599000000000004</v>
      </c>
    </row>
    <row r="66" spans="1:6" x14ac:dyDescent="0.3">
      <c r="A66" s="2">
        <f t="shared" si="0"/>
        <v>65</v>
      </c>
      <c r="B66" s="8">
        <v>45778</v>
      </c>
      <c r="C66" s="4">
        <v>165.81121826171875</v>
      </c>
      <c r="D66" s="6">
        <v>94645.979399999997</v>
      </c>
      <c r="E66" s="6">
        <v>24750.7</v>
      </c>
      <c r="F66" s="6">
        <v>85.525000000000006</v>
      </c>
    </row>
    <row r="67" spans="1:6" x14ac:dyDescent="0.3">
      <c r="A67" s="2">
        <f t="shared" si="0"/>
        <v>66</v>
      </c>
      <c r="B67" s="8">
        <v>45809</v>
      </c>
      <c r="C67" s="4">
        <v>222.19857788085938</v>
      </c>
      <c r="D67" s="6">
        <v>97154.497529999993</v>
      </c>
      <c r="E67" s="6">
        <v>25517.05</v>
      </c>
      <c r="F67" s="6">
        <v>85.7</v>
      </c>
    </row>
    <row r="68" spans="1:6" x14ac:dyDescent="0.3">
      <c r="A68" s="2">
        <f t="shared" ref="A68:A72" si="1">A67+1</f>
        <v>67</v>
      </c>
      <c r="B68" s="8">
        <v>45839</v>
      </c>
      <c r="C68" s="4">
        <v>134.79460144042969</v>
      </c>
      <c r="D68" s="6">
        <v>97560.407229999997</v>
      </c>
      <c r="E68" s="6">
        <v>24768.35</v>
      </c>
      <c r="F68" s="6">
        <v>87.524000000000001</v>
      </c>
    </row>
    <row r="69" spans="1:6" x14ac:dyDescent="0.3">
      <c r="A69" s="2">
        <f t="shared" si="1"/>
        <v>68</v>
      </c>
      <c r="B69" s="8">
        <v>45870</v>
      </c>
      <c r="C69" s="4">
        <v>136.74961853027344</v>
      </c>
      <c r="D69" s="6">
        <v>99704.675629999998</v>
      </c>
      <c r="E69" s="6">
        <v>24426.85</v>
      </c>
      <c r="F69" s="6">
        <v>88.174000000000007</v>
      </c>
    </row>
    <row r="70" spans="1:6" x14ac:dyDescent="0.3">
      <c r="A70" s="2">
        <f t="shared" si="1"/>
        <v>69</v>
      </c>
      <c r="B70" s="8">
        <v>45901</v>
      </c>
      <c r="C70" s="4">
        <v>124.10614776611328</v>
      </c>
      <c r="D70" s="6">
        <v>109576.0583</v>
      </c>
      <c r="E70" s="6">
        <v>24611.1</v>
      </c>
      <c r="F70" s="6">
        <v>88.840999999999994</v>
      </c>
    </row>
    <row r="71" spans="1:6" x14ac:dyDescent="0.3">
      <c r="A71" s="2">
        <f t="shared" si="1"/>
        <v>70</v>
      </c>
      <c r="B71" s="8">
        <v>45931</v>
      </c>
      <c r="C71" s="4">
        <v>154.43557739257813</v>
      </c>
      <c r="D71" s="6">
        <v>122815.22840000001</v>
      </c>
      <c r="E71" s="6">
        <v>25722.1</v>
      </c>
      <c r="F71" s="6">
        <v>88.769000000000005</v>
      </c>
    </row>
    <row r="72" spans="1:6" x14ac:dyDescent="0.3">
      <c r="A72" s="2">
        <f t="shared" si="1"/>
        <v>71</v>
      </c>
      <c r="B72" s="8">
        <v>45962</v>
      </c>
      <c r="C72" s="4">
        <v>99.912399291992188</v>
      </c>
      <c r="D72" s="6">
        <v>122847.55839999999</v>
      </c>
      <c r="E72" s="6">
        <v>26202.95</v>
      </c>
      <c r="F72" s="6">
        <v>89.356999999999999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2AD0-4BD6-41F1-AA14-7FDDD80C29C5}">
  <dimension ref="A1:L72"/>
  <sheetViews>
    <sheetView topLeftCell="A51" workbookViewId="0">
      <selection activeCell="W59" sqref="W59"/>
    </sheetView>
  </sheetViews>
  <sheetFormatPr defaultRowHeight="14.4" x14ac:dyDescent="0.3"/>
  <cols>
    <col min="1" max="5" width="8.88671875" style="2"/>
    <col min="6" max="6" width="9.5546875" style="2" bestFit="1" customWidth="1"/>
    <col min="7" max="7" width="8.88671875" style="2"/>
    <col min="8" max="8" width="7.5546875" style="2" bestFit="1" customWidth="1"/>
    <col min="9" max="9" width="8.88671875" style="2"/>
    <col min="10" max="10" width="9.5546875" style="2" bestFit="1" customWidth="1"/>
    <col min="11" max="11" width="8.88671875" style="2"/>
    <col min="12" max="12" width="7.5546875" style="2" bestFit="1" customWidth="1"/>
    <col min="13" max="16384" width="8.88671875" style="2"/>
  </cols>
  <sheetData>
    <row r="1" spans="1:12" x14ac:dyDescent="0.3">
      <c r="A1" s="1" t="s">
        <v>2</v>
      </c>
      <c r="B1" s="5" t="s">
        <v>3</v>
      </c>
      <c r="C1" s="5" t="s">
        <v>4</v>
      </c>
      <c r="D1" s="5" t="s">
        <v>8</v>
      </c>
      <c r="E1" s="5" t="s">
        <v>10</v>
      </c>
      <c r="F1" s="5" t="s">
        <v>12</v>
      </c>
      <c r="G1" s="5" t="s">
        <v>11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x14ac:dyDescent="0.3">
      <c r="A2" s="4">
        <v>138.42094421386719</v>
      </c>
      <c r="B2" s="6">
        <v>39991.54017</v>
      </c>
      <c r="C2" s="6">
        <v>11962.1</v>
      </c>
      <c r="D2" s="6">
        <v>71.540000000000006</v>
      </c>
      <c r="E2" s="6"/>
      <c r="F2" s="6"/>
      <c r="G2" s="6"/>
      <c r="H2" s="6"/>
      <c r="I2" s="6"/>
      <c r="J2" s="6"/>
      <c r="K2" s="6"/>
      <c r="L2" s="6"/>
    </row>
    <row r="3" spans="1:12" x14ac:dyDescent="0.3">
      <c r="A3" s="4">
        <v>75.955558776855469</v>
      </c>
      <c r="B3" s="6">
        <v>41196.719270000001</v>
      </c>
      <c r="C3" s="6">
        <v>11201.75</v>
      </c>
      <c r="D3" s="6">
        <v>72.534000000000006</v>
      </c>
      <c r="E3" s="6"/>
      <c r="F3" s="6"/>
      <c r="G3" s="6"/>
      <c r="H3" s="6"/>
      <c r="I3" s="6"/>
      <c r="J3" s="6"/>
      <c r="K3" s="6"/>
      <c r="L3" s="6"/>
    </row>
    <row r="4" spans="1:12" x14ac:dyDescent="0.3">
      <c r="A4" s="4">
        <v>81.540031433105497</v>
      </c>
      <c r="B4" s="6">
        <v>41726.918879999997</v>
      </c>
      <c r="C4" s="6">
        <v>8597.75</v>
      </c>
      <c r="D4" s="6">
        <v>75.332999999999998</v>
      </c>
      <c r="E4" s="6">
        <f>(A2+A3+A4)/3</f>
        <v>98.638844807942704</v>
      </c>
      <c r="F4" s="6">
        <f>(B2+B3+B4)/3</f>
        <v>40971.726106666662</v>
      </c>
      <c r="G4" s="6">
        <f>(C2+C3+C4)/3</f>
        <v>10587.199999999999</v>
      </c>
      <c r="H4" s="6">
        <f>(D2+D3+D4)/3</f>
        <v>73.135666666666665</v>
      </c>
      <c r="I4" s="6"/>
      <c r="J4" s="6"/>
      <c r="K4" s="6"/>
      <c r="L4" s="6"/>
    </row>
    <row r="5" spans="1:12" x14ac:dyDescent="0.3">
      <c r="A5" s="4">
        <v>69.339401245117188</v>
      </c>
      <c r="B5" s="6">
        <v>40988.969429999997</v>
      </c>
      <c r="C5" s="6">
        <v>9859.9</v>
      </c>
      <c r="D5" s="6">
        <v>75.076999999999998</v>
      </c>
      <c r="E5" s="6">
        <f t="shared" ref="E5:E68" si="0">(A3+A4+A5)/3</f>
        <v>75.611663818359389</v>
      </c>
      <c r="F5" s="6">
        <f t="shared" ref="F5:F68" si="1">(B3+B4+B5)/3</f>
        <v>41304.202526666668</v>
      </c>
      <c r="G5" s="6">
        <f t="shared" ref="G5:G68" si="2">(C3+C4+C5)/3</f>
        <v>9886.4666666666672</v>
      </c>
      <c r="H5" s="6">
        <f t="shared" ref="H5:H68" si="3">(D3+D4+D5)/3</f>
        <v>74.314666666666668</v>
      </c>
      <c r="I5" s="6"/>
      <c r="J5" s="6"/>
      <c r="K5" s="6"/>
      <c r="L5" s="6"/>
    </row>
    <row r="6" spans="1:12" x14ac:dyDescent="0.3">
      <c r="A6" s="4">
        <v>68.507217407226563</v>
      </c>
      <c r="B6" s="6">
        <v>40988.969429999997</v>
      </c>
      <c r="C6" s="6">
        <v>9580.2999999999993</v>
      </c>
      <c r="D6" s="6">
        <v>75.59</v>
      </c>
      <c r="E6" s="6">
        <f t="shared" si="0"/>
        <v>73.12888336181642</v>
      </c>
      <c r="F6" s="6">
        <f t="shared" si="1"/>
        <v>41234.952579999997</v>
      </c>
      <c r="G6" s="6">
        <f t="shared" si="2"/>
        <v>9345.9833333333336</v>
      </c>
      <c r="H6" s="6">
        <f t="shared" si="3"/>
        <v>75.333333333333329</v>
      </c>
      <c r="I6" s="6"/>
      <c r="J6" s="6"/>
      <c r="K6" s="6"/>
      <c r="L6" s="6"/>
    </row>
    <row r="7" spans="1:12" x14ac:dyDescent="0.3">
      <c r="A7" s="4">
        <v>71.227859497070313</v>
      </c>
      <c r="B7" s="6">
        <v>46781.285109999997</v>
      </c>
      <c r="C7" s="6">
        <v>10302.1</v>
      </c>
      <c r="D7" s="6">
        <v>75.540000000000006</v>
      </c>
      <c r="E7" s="6">
        <f t="shared" si="0"/>
        <v>69.691492716471359</v>
      </c>
      <c r="F7" s="6">
        <f t="shared" si="1"/>
        <v>42919.741323333328</v>
      </c>
      <c r="G7" s="6">
        <f t="shared" si="2"/>
        <v>9914.0999999999985</v>
      </c>
      <c r="H7" s="6">
        <f t="shared" si="3"/>
        <v>75.402333333333331</v>
      </c>
      <c r="I7" s="6">
        <f>(A2+A3+A4+A5+A6+A7)/6</f>
        <v>84.165168762207031</v>
      </c>
      <c r="J7" s="6">
        <f>(B2+B3+B4+B5+B6+B7)/6</f>
        <v>41945.733715000002</v>
      </c>
      <c r="K7" s="6">
        <f>(C2+C3+C4+C5+C6+C7)/6</f>
        <v>10250.65</v>
      </c>
      <c r="L7" s="6">
        <f>(D2+D3+D4+D5+D6+D7)/6</f>
        <v>74.26900000000002</v>
      </c>
    </row>
    <row r="8" spans="1:12" x14ac:dyDescent="0.3">
      <c r="A8" s="4">
        <v>66.473281860351563</v>
      </c>
      <c r="B8" s="6">
        <v>49912.79277</v>
      </c>
      <c r="C8" s="6">
        <v>11073.45</v>
      </c>
      <c r="D8" s="6">
        <v>74.915999999999997</v>
      </c>
      <c r="E8" s="6">
        <f t="shared" si="0"/>
        <v>68.736119588216141</v>
      </c>
      <c r="F8" s="6">
        <f t="shared" si="1"/>
        <v>45894.349103333334</v>
      </c>
      <c r="G8" s="6">
        <f t="shared" si="2"/>
        <v>10318.616666666667</v>
      </c>
      <c r="H8" s="6">
        <f t="shared" si="3"/>
        <v>75.348666666666659</v>
      </c>
      <c r="I8" s="6">
        <f t="shared" ref="I8:I71" si="4">(A3+A4+A5+A6+A7+A8)/6</f>
        <v>72.173891703287765</v>
      </c>
      <c r="J8" s="6">
        <f t="shared" ref="J8:L8" si="5">(B3+B4+B5+B6+B7+B8)/6</f>
        <v>43599.275815000001</v>
      </c>
      <c r="K8" s="6">
        <f t="shared" si="5"/>
        <v>10102.541666666666</v>
      </c>
      <c r="L8" s="6">
        <f t="shared" si="5"/>
        <v>74.831666666666663</v>
      </c>
    </row>
    <row r="9" spans="1:12" x14ac:dyDescent="0.3">
      <c r="A9" s="4">
        <v>65.466049194335938</v>
      </c>
      <c r="B9" s="6">
        <v>53038.150439999998</v>
      </c>
      <c r="C9" s="6">
        <v>11387.5</v>
      </c>
      <c r="D9" s="6">
        <v>73.254000000000005</v>
      </c>
      <c r="E9" s="6">
        <f t="shared" si="0"/>
        <v>67.722396850585938</v>
      </c>
      <c r="F9" s="6">
        <f t="shared" si="1"/>
        <v>49910.742773333332</v>
      </c>
      <c r="G9" s="6">
        <f t="shared" si="2"/>
        <v>10921.016666666668</v>
      </c>
      <c r="H9" s="6">
        <f t="shared" si="3"/>
        <v>74.570000000000007</v>
      </c>
      <c r="I9" s="6">
        <f t="shared" si="4"/>
        <v>70.425640106201172</v>
      </c>
      <c r="J9" s="6">
        <f t="shared" ref="J9:L9" si="6">(B4+B5+B6+B7+B8+B9)/6</f>
        <v>45572.847676666664</v>
      </c>
      <c r="K9" s="6">
        <f t="shared" si="6"/>
        <v>10133.5</v>
      </c>
      <c r="L9" s="6">
        <f t="shared" si="6"/>
        <v>74.951666666666668</v>
      </c>
    </row>
    <row r="10" spans="1:12" x14ac:dyDescent="0.3">
      <c r="A10" s="4">
        <v>80.37738037109375</v>
      </c>
      <c r="B10" s="6">
        <v>50901.282030000002</v>
      </c>
      <c r="C10" s="6">
        <v>11247.55</v>
      </c>
      <c r="D10" s="6">
        <v>73.56</v>
      </c>
      <c r="E10" s="6">
        <f t="shared" si="0"/>
        <v>70.772237141927079</v>
      </c>
      <c r="F10" s="6">
        <f t="shared" si="1"/>
        <v>51284.075080000002</v>
      </c>
      <c r="G10" s="6">
        <f t="shared" si="2"/>
        <v>11236.166666666666</v>
      </c>
      <c r="H10" s="6">
        <f t="shared" si="3"/>
        <v>73.910000000000011</v>
      </c>
      <c r="I10" s="6">
        <f t="shared" si="4"/>
        <v>70.231864929199219</v>
      </c>
      <c r="J10" s="6">
        <f t="shared" ref="J10:L10" si="7">(B5+B6+B7+B8+B9+B10)/6</f>
        <v>47101.908201666665</v>
      </c>
      <c r="K10" s="6">
        <f t="shared" si="7"/>
        <v>10575.133333333333</v>
      </c>
      <c r="L10" s="6">
        <f t="shared" si="7"/>
        <v>74.656166666666664</v>
      </c>
    </row>
    <row r="11" spans="1:12" x14ac:dyDescent="0.3">
      <c r="A11" s="4">
        <v>76.083168029785156</v>
      </c>
      <c r="B11" s="6">
        <v>50715.532169999999</v>
      </c>
      <c r="C11" s="6">
        <v>11642.4</v>
      </c>
      <c r="D11" s="6">
        <v>74.554000000000002</v>
      </c>
      <c r="E11" s="6">
        <f t="shared" si="0"/>
        <v>73.975532531738281</v>
      </c>
      <c r="F11" s="6">
        <f t="shared" si="1"/>
        <v>51551.654879999995</v>
      </c>
      <c r="G11" s="6">
        <f t="shared" si="2"/>
        <v>11425.816666666666</v>
      </c>
      <c r="H11" s="6">
        <f t="shared" si="3"/>
        <v>73.789333333333346</v>
      </c>
      <c r="I11" s="6">
        <f t="shared" si="4"/>
        <v>71.355826059977218</v>
      </c>
      <c r="J11" s="6">
        <f t="shared" ref="J11:L11" si="8">(B6+B7+B8+B9+B10+B11)/6</f>
        <v>48723.001991666672</v>
      </c>
      <c r="K11" s="6">
        <f t="shared" si="8"/>
        <v>10872.216666666669</v>
      </c>
      <c r="L11" s="6">
        <f t="shared" si="8"/>
        <v>74.569000000000003</v>
      </c>
    </row>
    <row r="12" spans="1:12" x14ac:dyDescent="0.3">
      <c r="A12" s="4">
        <v>70.067466735839844</v>
      </c>
      <c r="B12" s="6">
        <v>50407.232400000001</v>
      </c>
      <c r="C12" s="6">
        <v>12968.95</v>
      </c>
      <c r="D12" s="6">
        <v>73.989999999999995</v>
      </c>
      <c r="E12" s="6">
        <f t="shared" si="0"/>
        <v>75.50933837890625</v>
      </c>
      <c r="F12" s="6">
        <f t="shared" si="1"/>
        <v>50674.682200000003</v>
      </c>
      <c r="G12" s="6">
        <f t="shared" si="2"/>
        <v>11952.966666666665</v>
      </c>
      <c r="H12" s="6">
        <f t="shared" si="3"/>
        <v>74.034666666666666</v>
      </c>
      <c r="I12" s="6">
        <f t="shared" si="4"/>
        <v>71.615867614746094</v>
      </c>
      <c r="J12" s="6">
        <f t="shared" ref="J12:L12" si="9">(B7+B8+B9+B10+B11+B12)/6</f>
        <v>50292.712486666664</v>
      </c>
      <c r="K12" s="6">
        <f t="shared" si="9"/>
        <v>11436.991666666669</v>
      </c>
      <c r="L12" s="6">
        <f t="shared" si="9"/>
        <v>74.302333333333351</v>
      </c>
    </row>
    <row r="13" spans="1:12" x14ac:dyDescent="0.3">
      <c r="A13" s="4">
        <v>64.067291259765625</v>
      </c>
      <c r="B13" s="6">
        <v>49467.413099999998</v>
      </c>
      <c r="C13" s="6">
        <v>13981.75</v>
      </c>
      <c r="D13" s="6">
        <v>73.036000000000001</v>
      </c>
      <c r="E13" s="6">
        <f t="shared" si="0"/>
        <v>70.072642008463546</v>
      </c>
      <c r="F13" s="6">
        <f t="shared" si="1"/>
        <v>50196.725890000002</v>
      </c>
      <c r="G13" s="6">
        <f t="shared" si="2"/>
        <v>12864.366666666667</v>
      </c>
      <c r="H13" s="6">
        <f t="shared" si="3"/>
        <v>73.86</v>
      </c>
      <c r="I13" s="6">
        <f t="shared" si="4"/>
        <v>70.422439575195313</v>
      </c>
      <c r="J13" s="6">
        <f t="shared" ref="J13:L13" si="10">(B8+B9+B10+B11+B12+B13)/6</f>
        <v>50740.400484999998</v>
      </c>
      <c r="K13" s="6">
        <f t="shared" si="10"/>
        <v>12050.266666666668</v>
      </c>
      <c r="L13" s="6">
        <f t="shared" si="10"/>
        <v>73.885000000000005</v>
      </c>
    </row>
    <row r="14" spans="1:12" x14ac:dyDescent="0.3">
      <c r="A14" s="4">
        <v>77.418701171875</v>
      </c>
      <c r="B14" s="6">
        <v>49639.122969999997</v>
      </c>
      <c r="C14" s="6">
        <v>13634.6</v>
      </c>
      <c r="D14" s="6">
        <v>72.876999999999995</v>
      </c>
      <c r="E14" s="6">
        <f t="shared" si="0"/>
        <v>70.517819722493485</v>
      </c>
      <c r="F14" s="6">
        <f t="shared" si="1"/>
        <v>49837.922823333334</v>
      </c>
      <c r="G14" s="6">
        <f t="shared" si="2"/>
        <v>13528.433333333334</v>
      </c>
      <c r="H14" s="6">
        <f t="shared" si="3"/>
        <v>73.301000000000002</v>
      </c>
      <c r="I14" s="6">
        <f t="shared" si="4"/>
        <v>72.24667612711589</v>
      </c>
      <c r="J14" s="6">
        <f t="shared" ref="J14:L14" si="11">(B9+B10+B11+B12+B13+B14)/6</f>
        <v>50694.788851666672</v>
      </c>
      <c r="K14" s="6">
        <f t="shared" si="11"/>
        <v>12477.125</v>
      </c>
      <c r="L14" s="6">
        <f t="shared" si="11"/>
        <v>73.545166666666674</v>
      </c>
    </row>
    <row r="15" spans="1:12" x14ac:dyDescent="0.3">
      <c r="A15" s="4">
        <v>73.956802368164063</v>
      </c>
      <c r="B15" s="6">
        <v>47141.514840000003</v>
      </c>
      <c r="C15" s="6">
        <v>14529.15</v>
      </c>
      <c r="D15" s="6">
        <v>73.92</v>
      </c>
      <c r="E15" s="6">
        <f t="shared" si="0"/>
        <v>71.814264933268234</v>
      </c>
      <c r="F15" s="6">
        <f t="shared" si="1"/>
        <v>48749.350303333333</v>
      </c>
      <c r="G15" s="6">
        <f t="shared" si="2"/>
        <v>14048.5</v>
      </c>
      <c r="H15" s="6">
        <f t="shared" si="3"/>
        <v>73.277666666666676</v>
      </c>
      <c r="I15" s="6">
        <f t="shared" si="4"/>
        <v>73.661801656087235</v>
      </c>
      <c r="J15" s="6">
        <f t="shared" ref="J15:L15" si="12">(B10+B11+B12+B13+B14+B15)/6</f>
        <v>49712.016251666668</v>
      </c>
      <c r="K15" s="6">
        <f t="shared" si="12"/>
        <v>13000.733333333332</v>
      </c>
      <c r="L15" s="6">
        <f t="shared" si="12"/>
        <v>73.656166666666664</v>
      </c>
    </row>
    <row r="16" spans="1:12" x14ac:dyDescent="0.3">
      <c r="A16" s="4">
        <v>78.618766784667969</v>
      </c>
      <c r="B16" s="6">
        <v>44649.4467</v>
      </c>
      <c r="C16" s="6">
        <v>14690.7</v>
      </c>
      <c r="D16" s="6">
        <v>73.137</v>
      </c>
      <c r="E16" s="6">
        <f t="shared" si="0"/>
        <v>76.664756774902344</v>
      </c>
      <c r="F16" s="6">
        <f t="shared" si="1"/>
        <v>47143.361503333341</v>
      </c>
      <c r="G16" s="6">
        <f t="shared" si="2"/>
        <v>14284.816666666666</v>
      </c>
      <c r="H16" s="6">
        <f t="shared" si="3"/>
        <v>73.311333333333337</v>
      </c>
      <c r="I16" s="6">
        <f t="shared" si="4"/>
        <v>73.368699391682938</v>
      </c>
      <c r="J16" s="6">
        <f t="shared" ref="J16:L16" si="13">(B11+B12+B13+B14+B15+B16)/6</f>
        <v>48670.04369666666</v>
      </c>
      <c r="K16" s="6">
        <f t="shared" si="13"/>
        <v>13574.591666666665</v>
      </c>
      <c r="L16" s="6">
        <f t="shared" si="13"/>
        <v>73.585666666666668</v>
      </c>
    </row>
    <row r="17" spans="1:12" x14ac:dyDescent="0.3">
      <c r="A17" s="4">
        <v>88.166221618652344</v>
      </c>
      <c r="B17" s="6">
        <v>46724.255149999997</v>
      </c>
      <c r="C17" s="6">
        <v>14631.1</v>
      </c>
      <c r="D17" s="6">
        <v>74.05</v>
      </c>
      <c r="E17" s="6">
        <f t="shared" si="0"/>
        <v>80.247263590494796</v>
      </c>
      <c r="F17" s="6">
        <f t="shared" si="1"/>
        <v>46171.738896666669</v>
      </c>
      <c r="G17" s="6">
        <f t="shared" si="2"/>
        <v>14616.983333333332</v>
      </c>
      <c r="H17" s="6">
        <f t="shared" si="3"/>
        <v>73.702333333333343</v>
      </c>
      <c r="I17" s="6">
        <f t="shared" si="4"/>
        <v>75.382541656494141</v>
      </c>
      <c r="J17" s="6">
        <f t="shared" ref="J17:L17" si="14">(B12+B13+B14+B15+B16+B17)/6</f>
        <v>48004.830860000009</v>
      </c>
      <c r="K17" s="6">
        <f t="shared" si="14"/>
        <v>14072.708333333336</v>
      </c>
      <c r="L17" s="6">
        <f t="shared" si="14"/>
        <v>73.501666666666679</v>
      </c>
    </row>
    <row r="18" spans="1:12" x14ac:dyDescent="0.3">
      <c r="A18" s="4">
        <v>93.007133483886719</v>
      </c>
      <c r="B18" s="6">
        <v>47889.444280000003</v>
      </c>
      <c r="C18" s="6">
        <v>15582.8</v>
      </c>
      <c r="D18" s="6">
        <v>72.510999999999996</v>
      </c>
      <c r="E18" s="6">
        <f t="shared" si="0"/>
        <v>86.597373962402344</v>
      </c>
      <c r="F18" s="6">
        <f t="shared" si="1"/>
        <v>46421.048710000003</v>
      </c>
      <c r="G18" s="6">
        <f t="shared" si="2"/>
        <v>14968.200000000003</v>
      </c>
      <c r="H18" s="6">
        <f t="shared" si="3"/>
        <v>73.232666666666674</v>
      </c>
      <c r="I18" s="6">
        <f t="shared" si="4"/>
        <v>79.205819447835282</v>
      </c>
      <c r="J18" s="6">
        <f t="shared" ref="J18:L18" si="15">(B13+B14+B15+B16+B17+B18)/6</f>
        <v>47585.199506666664</v>
      </c>
      <c r="K18" s="6">
        <f t="shared" si="15"/>
        <v>14508.35</v>
      </c>
      <c r="L18" s="6">
        <f t="shared" si="15"/>
        <v>73.255166666666682</v>
      </c>
    </row>
    <row r="19" spans="1:12" x14ac:dyDescent="0.3">
      <c r="A19" s="4">
        <v>74.127120971679688</v>
      </c>
      <c r="B19" s="6">
        <v>47902.914270000001</v>
      </c>
      <c r="C19" s="6">
        <v>15721.5</v>
      </c>
      <c r="D19" s="6">
        <v>74.36</v>
      </c>
      <c r="E19" s="6">
        <f t="shared" si="0"/>
        <v>85.10015869140625</v>
      </c>
      <c r="F19" s="6">
        <f t="shared" si="1"/>
        <v>47505.537900000003</v>
      </c>
      <c r="G19" s="6">
        <f t="shared" si="2"/>
        <v>15311.800000000001</v>
      </c>
      <c r="H19" s="6">
        <f t="shared" si="3"/>
        <v>73.640333333333331</v>
      </c>
      <c r="I19" s="6">
        <f t="shared" si="4"/>
        <v>80.882457733154297</v>
      </c>
      <c r="J19" s="6">
        <f t="shared" ref="J19:L19" si="16">(B14+B15+B16+B17+B18+B19)/6</f>
        <v>47324.449701666665</v>
      </c>
      <c r="K19" s="6">
        <f t="shared" si="16"/>
        <v>14798.308333333332</v>
      </c>
      <c r="L19" s="6">
        <f t="shared" si="16"/>
        <v>73.475833333333341</v>
      </c>
    </row>
    <row r="20" spans="1:12" x14ac:dyDescent="0.3">
      <c r="A20" s="4">
        <v>58.420768737792969</v>
      </c>
      <c r="B20" s="6">
        <v>47791.964350000002</v>
      </c>
      <c r="C20" s="6">
        <v>15763.05</v>
      </c>
      <c r="D20" s="6">
        <v>74.337000000000003</v>
      </c>
      <c r="E20" s="6">
        <f t="shared" si="0"/>
        <v>75.185007731119796</v>
      </c>
      <c r="F20" s="6">
        <f t="shared" si="1"/>
        <v>47861.440966666669</v>
      </c>
      <c r="G20" s="6">
        <f t="shared" si="2"/>
        <v>15689.116666666667</v>
      </c>
      <c r="H20" s="6">
        <f t="shared" si="3"/>
        <v>73.73599999999999</v>
      </c>
      <c r="I20" s="6">
        <f t="shared" si="4"/>
        <v>77.716135660807296</v>
      </c>
      <c r="J20" s="6">
        <f t="shared" ref="J20:L20" si="17">(B15+B16+B17+B18+B19+B20)/6</f>
        <v>47016.589931666669</v>
      </c>
      <c r="K20" s="6">
        <f t="shared" si="17"/>
        <v>15153.050000000001</v>
      </c>
      <c r="L20" s="6">
        <f t="shared" si="17"/>
        <v>73.71916666666668</v>
      </c>
    </row>
    <row r="21" spans="1:12" x14ac:dyDescent="0.3">
      <c r="A21" s="4">
        <v>89.486549377441406</v>
      </c>
      <c r="B21" s="6">
        <v>47097.604870000003</v>
      </c>
      <c r="C21" s="6">
        <v>17132.2</v>
      </c>
      <c r="D21" s="6">
        <v>72.947000000000003</v>
      </c>
      <c r="E21" s="6">
        <f t="shared" si="0"/>
        <v>74.011479695638016</v>
      </c>
      <c r="F21" s="6">
        <f t="shared" si="1"/>
        <v>47597.494496666674</v>
      </c>
      <c r="G21" s="6">
        <f t="shared" si="2"/>
        <v>16205.583333333334</v>
      </c>
      <c r="H21" s="6">
        <f t="shared" si="3"/>
        <v>73.88133333333333</v>
      </c>
      <c r="I21" s="6">
        <f t="shared" si="4"/>
        <v>80.304426829020187</v>
      </c>
      <c r="J21" s="6">
        <f t="shared" ref="J21:L21" si="18">(B16+B17+B18+B19+B20+B21)/6</f>
        <v>47009.271603333334</v>
      </c>
      <c r="K21" s="6">
        <f t="shared" si="18"/>
        <v>15586.891666666668</v>
      </c>
      <c r="L21" s="6">
        <f t="shared" si="18"/>
        <v>73.557000000000002</v>
      </c>
    </row>
    <row r="22" spans="1:12" x14ac:dyDescent="0.3">
      <c r="A22" s="4">
        <v>80.696968078613281</v>
      </c>
      <c r="B22" s="6">
        <v>46589.055249999998</v>
      </c>
      <c r="C22" s="6">
        <v>17618.150000000001</v>
      </c>
      <c r="D22" s="6">
        <v>74.164000000000001</v>
      </c>
      <c r="E22" s="6">
        <f t="shared" si="0"/>
        <v>76.201428731282547</v>
      </c>
      <c r="F22" s="6">
        <f t="shared" si="1"/>
        <v>47159.541490000003</v>
      </c>
      <c r="G22" s="6">
        <f t="shared" si="2"/>
        <v>16837.8</v>
      </c>
      <c r="H22" s="6">
        <f t="shared" si="3"/>
        <v>73.815999999999988</v>
      </c>
      <c r="I22" s="6">
        <f t="shared" si="4"/>
        <v>80.650793711344406</v>
      </c>
      <c r="J22" s="6">
        <f t="shared" ref="J22:L22" si="19">(B17+B18+B19+B20+B21+B22)/6</f>
        <v>47332.539695000007</v>
      </c>
      <c r="K22" s="6">
        <f t="shared" si="19"/>
        <v>16074.799999999997</v>
      </c>
      <c r="L22" s="6">
        <f t="shared" si="19"/>
        <v>73.728166666666667</v>
      </c>
    </row>
    <row r="23" spans="1:12" x14ac:dyDescent="0.3">
      <c r="A23" s="4">
        <v>79.02923583984375</v>
      </c>
      <c r="B23" s="6">
        <v>47251.584759999998</v>
      </c>
      <c r="C23" s="6">
        <v>17671.650000000001</v>
      </c>
      <c r="D23" s="6">
        <v>74.915000000000006</v>
      </c>
      <c r="E23" s="6">
        <f t="shared" si="0"/>
        <v>83.070917765299484</v>
      </c>
      <c r="F23" s="6">
        <f t="shared" si="1"/>
        <v>46979.414960000002</v>
      </c>
      <c r="G23" s="6">
        <f t="shared" si="2"/>
        <v>17474.000000000004</v>
      </c>
      <c r="H23" s="6">
        <f t="shared" si="3"/>
        <v>74.00866666666667</v>
      </c>
      <c r="I23" s="6">
        <f t="shared" si="4"/>
        <v>79.12796274820964</v>
      </c>
      <c r="J23" s="6">
        <f t="shared" ref="J23:L23" si="20">(B18+B19+B20+B21+B22+B23)/6</f>
        <v>47420.427963333343</v>
      </c>
      <c r="K23" s="6">
        <f t="shared" si="20"/>
        <v>16581.558333333334</v>
      </c>
      <c r="L23" s="6">
        <f t="shared" si="20"/>
        <v>73.87233333333333</v>
      </c>
    </row>
    <row r="24" spans="1:12" x14ac:dyDescent="0.3">
      <c r="A24" s="4">
        <v>86.569145202636719</v>
      </c>
      <c r="B24" s="6">
        <v>48162.914080000002</v>
      </c>
      <c r="C24" s="6">
        <v>16983.2</v>
      </c>
      <c r="D24" s="6">
        <v>75.09</v>
      </c>
      <c r="E24" s="6">
        <f t="shared" si="0"/>
        <v>82.09844970703125</v>
      </c>
      <c r="F24" s="6">
        <f t="shared" si="1"/>
        <v>47334.518029999999</v>
      </c>
      <c r="G24" s="6">
        <f t="shared" si="2"/>
        <v>17424.333333333332</v>
      </c>
      <c r="H24" s="6">
        <f t="shared" si="3"/>
        <v>74.722999999999999</v>
      </c>
      <c r="I24" s="6">
        <f t="shared" si="4"/>
        <v>78.05496470133464</v>
      </c>
      <c r="J24" s="6">
        <f t="shared" ref="J24:L24" si="21">(B19+B20+B21+B22+B23+B24)/6</f>
        <v>47466.006263333336</v>
      </c>
      <c r="K24" s="6">
        <f t="shared" si="21"/>
        <v>16814.958333333332</v>
      </c>
      <c r="L24" s="6">
        <f t="shared" si="21"/>
        <v>74.302166666666665</v>
      </c>
    </row>
    <row r="25" spans="1:12" x14ac:dyDescent="0.3">
      <c r="A25" s="4">
        <v>105.34542083740234</v>
      </c>
      <c r="B25" s="6">
        <v>47900.134270000002</v>
      </c>
      <c r="C25" s="6">
        <v>17354.05</v>
      </c>
      <c r="D25" s="6">
        <v>74.466999999999999</v>
      </c>
      <c r="E25" s="6">
        <f t="shared" si="0"/>
        <v>90.314600626627609</v>
      </c>
      <c r="F25" s="6">
        <f t="shared" si="1"/>
        <v>47771.544369999996</v>
      </c>
      <c r="G25" s="6">
        <f t="shared" si="2"/>
        <v>17336.300000000003</v>
      </c>
      <c r="H25" s="6">
        <f t="shared" si="3"/>
        <v>74.823999999999998</v>
      </c>
      <c r="I25" s="6">
        <f t="shared" si="4"/>
        <v>83.258014678955078</v>
      </c>
      <c r="J25" s="6">
        <f t="shared" ref="J25:L25" si="22">(B20+B21+B22+B23+B24+B25)/6</f>
        <v>47465.542929999996</v>
      </c>
      <c r="K25" s="6">
        <f t="shared" si="22"/>
        <v>17087.05</v>
      </c>
      <c r="L25" s="6">
        <f t="shared" si="22"/>
        <v>74.319999999999993</v>
      </c>
    </row>
    <row r="26" spans="1:12" x14ac:dyDescent="0.3">
      <c r="A26" s="4">
        <v>138.67498779296875</v>
      </c>
      <c r="B26" s="6">
        <v>47983.414210000003</v>
      </c>
      <c r="C26" s="6">
        <v>17339.849999999999</v>
      </c>
      <c r="D26" s="6">
        <v>74.528999999999996</v>
      </c>
      <c r="E26" s="6">
        <f t="shared" si="0"/>
        <v>110.19651794433594</v>
      </c>
      <c r="F26" s="6">
        <f t="shared" si="1"/>
        <v>48015.487520000002</v>
      </c>
      <c r="G26" s="6">
        <f t="shared" si="2"/>
        <v>17225.7</v>
      </c>
      <c r="H26" s="6">
        <f t="shared" si="3"/>
        <v>74.695333333333338</v>
      </c>
      <c r="I26" s="6">
        <f t="shared" si="4"/>
        <v>96.633717854817704</v>
      </c>
      <c r="J26" s="6">
        <f t="shared" ref="J26:L26" si="23">(B21+B22+B23+B24+B25+B26)/6</f>
        <v>47497.451240000002</v>
      </c>
      <c r="K26" s="6">
        <f t="shared" si="23"/>
        <v>17349.850000000002</v>
      </c>
      <c r="L26" s="6">
        <f t="shared" si="23"/>
        <v>74.35199999999999</v>
      </c>
    </row>
    <row r="27" spans="1:12" x14ac:dyDescent="0.3">
      <c r="A27" s="4">
        <v>216.15901184082031</v>
      </c>
      <c r="B27" s="6">
        <v>49279.413240000002</v>
      </c>
      <c r="C27" s="6">
        <v>16793.900000000001</v>
      </c>
      <c r="D27" s="6">
        <v>75.492999999999995</v>
      </c>
      <c r="E27" s="6">
        <f t="shared" si="0"/>
        <v>153.39314015706381</v>
      </c>
      <c r="F27" s="6">
        <f t="shared" si="1"/>
        <v>48387.653906666666</v>
      </c>
      <c r="G27" s="6">
        <f t="shared" si="2"/>
        <v>17162.599999999999</v>
      </c>
      <c r="H27" s="6">
        <f t="shared" si="3"/>
        <v>74.829666666666654</v>
      </c>
      <c r="I27" s="6">
        <f t="shared" si="4"/>
        <v>117.74579493204753</v>
      </c>
      <c r="J27" s="6">
        <f t="shared" ref="J27:L27" si="24">(B22+B23+B24+B25+B26+B27)/6</f>
        <v>47861.085968333333</v>
      </c>
      <c r="K27" s="6">
        <f t="shared" si="24"/>
        <v>17293.466666666664</v>
      </c>
      <c r="L27" s="6">
        <f t="shared" si="24"/>
        <v>74.776333333333341</v>
      </c>
    </row>
    <row r="28" spans="1:12" x14ac:dyDescent="0.3">
      <c r="A28" s="4">
        <v>318.95492553710938</v>
      </c>
      <c r="B28" s="6">
        <v>51672.351459999998</v>
      </c>
      <c r="C28" s="6">
        <v>17464.75</v>
      </c>
      <c r="D28" s="6">
        <v>75.900999999999996</v>
      </c>
      <c r="E28" s="6">
        <f t="shared" si="0"/>
        <v>224.59630839029947</v>
      </c>
      <c r="F28" s="6">
        <f t="shared" si="1"/>
        <v>49645.059636666672</v>
      </c>
      <c r="G28" s="6">
        <f t="shared" si="2"/>
        <v>17199.5</v>
      </c>
      <c r="H28" s="6">
        <f t="shared" si="3"/>
        <v>75.307666666666663</v>
      </c>
      <c r="I28" s="6">
        <f t="shared" si="4"/>
        <v>157.45545450846353</v>
      </c>
      <c r="J28" s="6">
        <f t="shared" ref="J28:L28" si="25">(B23+B24+B25+B26+B27+B28)/6</f>
        <v>48708.302003333338</v>
      </c>
      <c r="K28" s="6">
        <f t="shared" si="25"/>
        <v>17267.899999999998</v>
      </c>
      <c r="L28" s="6">
        <f t="shared" si="25"/>
        <v>75.06583333333333</v>
      </c>
    </row>
    <row r="29" spans="1:12" x14ac:dyDescent="0.3">
      <c r="A29" s="4">
        <v>191.14309692382813</v>
      </c>
      <c r="B29" s="6">
        <v>52057.861169999996</v>
      </c>
      <c r="C29" s="6">
        <v>17102.55</v>
      </c>
      <c r="D29" s="6">
        <v>76.52</v>
      </c>
      <c r="E29" s="6">
        <f t="shared" si="0"/>
        <v>242.08567810058594</v>
      </c>
      <c r="F29" s="6">
        <f t="shared" si="1"/>
        <v>51003.208623333332</v>
      </c>
      <c r="G29" s="6">
        <f t="shared" si="2"/>
        <v>17120.399999999998</v>
      </c>
      <c r="H29" s="6">
        <f t="shared" si="3"/>
        <v>75.971333333333334</v>
      </c>
      <c r="I29" s="6">
        <f t="shared" si="4"/>
        <v>176.14109802246094</v>
      </c>
      <c r="J29" s="6">
        <f t="shared" ref="J29:L29" si="26">(B24+B25+B26+B27+B28+B29)/6</f>
        <v>49509.348071666667</v>
      </c>
      <c r="K29" s="6">
        <f t="shared" si="26"/>
        <v>17173.05</v>
      </c>
      <c r="L29" s="6">
        <f t="shared" si="26"/>
        <v>75.333333333333329</v>
      </c>
    </row>
    <row r="30" spans="1:12" x14ac:dyDescent="0.3">
      <c r="A30" s="4">
        <v>142.25848388671875</v>
      </c>
      <c r="B30" s="6">
        <v>50887.232040000003</v>
      </c>
      <c r="C30" s="6">
        <v>16584.55</v>
      </c>
      <c r="D30" s="6">
        <v>77.569000000000003</v>
      </c>
      <c r="E30" s="6">
        <f t="shared" si="0"/>
        <v>217.45216878255209</v>
      </c>
      <c r="F30" s="6">
        <f t="shared" si="1"/>
        <v>51539.14822333333</v>
      </c>
      <c r="G30" s="6">
        <f t="shared" si="2"/>
        <v>17050.616666666669</v>
      </c>
      <c r="H30" s="6">
        <f t="shared" si="3"/>
        <v>76.663333333333341</v>
      </c>
      <c r="I30" s="6">
        <f t="shared" si="4"/>
        <v>185.42265446980795</v>
      </c>
      <c r="J30" s="6">
        <f t="shared" ref="J30:L30" si="27">(B25+B26+B27+B28+B29+B30)/6</f>
        <v>49963.401065000005</v>
      </c>
      <c r="K30" s="6">
        <f t="shared" si="27"/>
        <v>17106.608333333334</v>
      </c>
      <c r="L30" s="6">
        <f t="shared" si="27"/>
        <v>75.746499999999997</v>
      </c>
    </row>
    <row r="31" spans="1:12" x14ac:dyDescent="0.3">
      <c r="A31" s="4">
        <v>130.70732116699219</v>
      </c>
      <c r="B31" s="6">
        <v>50808.822099999998</v>
      </c>
      <c r="C31" s="6">
        <v>15780.25</v>
      </c>
      <c r="D31" s="6">
        <v>78.95</v>
      </c>
      <c r="E31" s="6">
        <f t="shared" si="0"/>
        <v>154.70296732584634</v>
      </c>
      <c r="F31" s="6">
        <f t="shared" si="1"/>
        <v>51251.305103333325</v>
      </c>
      <c r="G31" s="6">
        <f t="shared" si="2"/>
        <v>16489.116666666665</v>
      </c>
      <c r="H31" s="6">
        <f t="shared" si="3"/>
        <v>77.679666666666662</v>
      </c>
      <c r="I31" s="6">
        <f t="shared" si="4"/>
        <v>189.64963785807291</v>
      </c>
      <c r="J31" s="6">
        <f t="shared" ref="J31:L31" si="28">(B26+B27+B28+B29+B30+B31)/6</f>
        <v>50448.182370000002</v>
      </c>
      <c r="K31" s="6">
        <f t="shared" si="28"/>
        <v>16844.308333333334</v>
      </c>
      <c r="L31" s="6">
        <f t="shared" si="28"/>
        <v>76.49366666666667</v>
      </c>
    </row>
    <row r="32" spans="1:12" x14ac:dyDescent="0.3">
      <c r="A32" s="4">
        <v>117.17676544189453</v>
      </c>
      <c r="B32" s="6">
        <v>50752.962140000003</v>
      </c>
      <c r="C32" s="6">
        <v>17158.25</v>
      </c>
      <c r="D32" s="6">
        <v>79.335999999999999</v>
      </c>
      <c r="E32" s="6">
        <f t="shared" si="0"/>
        <v>130.04752349853516</v>
      </c>
      <c r="F32" s="6">
        <f t="shared" si="1"/>
        <v>50816.338759999991</v>
      </c>
      <c r="G32" s="6">
        <f t="shared" si="2"/>
        <v>16507.683333333334</v>
      </c>
      <c r="H32" s="6">
        <f t="shared" si="3"/>
        <v>78.618333333333339</v>
      </c>
      <c r="I32" s="6">
        <f t="shared" si="4"/>
        <v>186.06660079956055</v>
      </c>
      <c r="J32" s="6">
        <f t="shared" ref="J32:L32" si="29">(B27+B28+B29+B30+B31+B32)/6</f>
        <v>50909.773691666662</v>
      </c>
      <c r="K32" s="6">
        <f t="shared" si="29"/>
        <v>16814.041666666668</v>
      </c>
      <c r="L32" s="6">
        <f t="shared" si="29"/>
        <v>77.29483333333333</v>
      </c>
    </row>
    <row r="33" spans="1:12" x14ac:dyDescent="0.3">
      <c r="A33" s="4">
        <v>132.86322021484375</v>
      </c>
      <c r="B33" s="6">
        <v>51635.051489999998</v>
      </c>
      <c r="C33" s="6">
        <v>17759.3</v>
      </c>
      <c r="D33" s="6">
        <v>79.491</v>
      </c>
      <c r="E33" s="6">
        <f t="shared" si="0"/>
        <v>126.91576894124348</v>
      </c>
      <c r="F33" s="6">
        <f t="shared" si="1"/>
        <v>51065.61191</v>
      </c>
      <c r="G33" s="6">
        <f t="shared" si="2"/>
        <v>16899.266666666666</v>
      </c>
      <c r="H33" s="6">
        <f t="shared" si="3"/>
        <v>79.259</v>
      </c>
      <c r="I33" s="6">
        <f t="shared" si="4"/>
        <v>172.1839688618978</v>
      </c>
      <c r="J33" s="6">
        <f t="shared" ref="J33:L33" si="30">(B28+B29+B30+B31+B32+B33)/6</f>
        <v>51302.380066666665</v>
      </c>
      <c r="K33" s="6">
        <f t="shared" si="30"/>
        <v>16974.941666666669</v>
      </c>
      <c r="L33" s="6">
        <f t="shared" si="30"/>
        <v>77.961166666666671</v>
      </c>
    </row>
    <row r="34" spans="1:12" x14ac:dyDescent="0.3">
      <c r="A34" s="4">
        <v>131.98587036132813</v>
      </c>
      <c r="B34" s="6">
        <v>49957.012739999998</v>
      </c>
      <c r="C34" s="6">
        <v>17094.349999999999</v>
      </c>
      <c r="D34" s="6">
        <v>81.509</v>
      </c>
      <c r="E34" s="6">
        <f t="shared" si="0"/>
        <v>127.34195200602214</v>
      </c>
      <c r="F34" s="6">
        <f t="shared" si="1"/>
        <v>50781.675456666671</v>
      </c>
      <c r="G34" s="6">
        <f t="shared" si="2"/>
        <v>17337.3</v>
      </c>
      <c r="H34" s="6">
        <f t="shared" si="3"/>
        <v>80.112000000000009</v>
      </c>
      <c r="I34" s="6">
        <f t="shared" si="4"/>
        <v>141.02245966593424</v>
      </c>
      <c r="J34" s="6">
        <f t="shared" ref="J34:L34" si="31">(B29+B30+B31+B32+B33+B34)/6</f>
        <v>51016.490279999991</v>
      </c>
      <c r="K34" s="6">
        <f t="shared" si="31"/>
        <v>16913.208333333332</v>
      </c>
      <c r="L34" s="6">
        <f t="shared" si="31"/>
        <v>78.895833333333329</v>
      </c>
    </row>
    <row r="35" spans="1:12" x14ac:dyDescent="0.3">
      <c r="A35" s="4">
        <v>143.16241455078125</v>
      </c>
      <c r="B35" s="6">
        <v>50372.482429999996</v>
      </c>
      <c r="C35" s="6">
        <v>18012.2</v>
      </c>
      <c r="D35" s="6">
        <v>82.77</v>
      </c>
      <c r="E35" s="6">
        <f t="shared" si="0"/>
        <v>136.00383504231772</v>
      </c>
      <c r="F35" s="6">
        <f t="shared" si="1"/>
        <v>50654.848886666667</v>
      </c>
      <c r="G35" s="6">
        <f t="shared" si="2"/>
        <v>17621.949999999997</v>
      </c>
      <c r="H35" s="6">
        <f t="shared" si="3"/>
        <v>81.256666666666661</v>
      </c>
      <c r="I35" s="6">
        <f t="shared" si="4"/>
        <v>133.02567927042642</v>
      </c>
      <c r="J35" s="6">
        <f t="shared" ref="J35:L35" si="32">(B30+B31+B32+B33+B34+B35)/6</f>
        <v>50735.593823333329</v>
      </c>
      <c r="K35" s="6">
        <f t="shared" si="32"/>
        <v>17064.816666666669</v>
      </c>
      <c r="L35" s="6">
        <f t="shared" si="32"/>
        <v>79.9375</v>
      </c>
    </row>
    <row r="36" spans="1:12" x14ac:dyDescent="0.3">
      <c r="A36" s="4">
        <v>116.71628570556641</v>
      </c>
      <c r="B36" s="6">
        <v>51843.821329999999</v>
      </c>
      <c r="C36" s="6">
        <v>18758.349999999999</v>
      </c>
      <c r="D36" s="6">
        <v>81.358999999999995</v>
      </c>
      <c r="E36" s="6">
        <f t="shared" si="0"/>
        <v>130.62152353922525</v>
      </c>
      <c r="F36" s="6">
        <f t="shared" si="1"/>
        <v>50724.438833333326</v>
      </c>
      <c r="G36" s="6">
        <f t="shared" si="2"/>
        <v>17954.966666666667</v>
      </c>
      <c r="H36" s="6">
        <f t="shared" si="3"/>
        <v>81.879333333333321</v>
      </c>
      <c r="I36" s="6">
        <f t="shared" si="4"/>
        <v>128.76864624023438</v>
      </c>
      <c r="J36" s="6">
        <f t="shared" ref="J36:L36" si="33">(B31+B32+B33+B34+B35+B36)/6</f>
        <v>50895.02537166667</v>
      </c>
      <c r="K36" s="6">
        <f t="shared" si="33"/>
        <v>17427.116666666665</v>
      </c>
      <c r="L36" s="6">
        <f t="shared" si="33"/>
        <v>80.569166666666661</v>
      </c>
    </row>
    <row r="37" spans="1:12" x14ac:dyDescent="0.3">
      <c r="A37" s="4">
        <v>111.19593811035156</v>
      </c>
      <c r="B37" s="6">
        <v>53928.689769999997</v>
      </c>
      <c r="C37" s="6">
        <v>18105.3</v>
      </c>
      <c r="D37" s="6">
        <v>82.716999999999999</v>
      </c>
      <c r="E37" s="6">
        <f t="shared" si="0"/>
        <v>123.69154612223308</v>
      </c>
      <c r="F37" s="6">
        <f t="shared" si="1"/>
        <v>52048.331176666659</v>
      </c>
      <c r="G37" s="6">
        <f t="shared" si="2"/>
        <v>18291.95</v>
      </c>
      <c r="H37" s="6">
        <f t="shared" si="3"/>
        <v>82.281999999999996</v>
      </c>
      <c r="I37" s="6">
        <f t="shared" si="4"/>
        <v>125.51674906412761</v>
      </c>
      <c r="J37" s="6">
        <f t="shared" ref="J37:L37" si="34">(B32+B33+B34+B35+B36+B37)/6</f>
        <v>51415.003316666669</v>
      </c>
      <c r="K37" s="6">
        <f t="shared" si="34"/>
        <v>17814.625000000004</v>
      </c>
      <c r="L37" s="6">
        <f t="shared" si="34"/>
        <v>81.196999999999989</v>
      </c>
    </row>
    <row r="38" spans="1:12" x14ac:dyDescent="0.3">
      <c r="A38" s="4">
        <v>104.26704406738281</v>
      </c>
      <c r="B38" s="6">
        <v>56221.668060000004</v>
      </c>
      <c r="C38" s="6">
        <v>17662.150000000001</v>
      </c>
      <c r="D38" s="6">
        <v>81.739000000000004</v>
      </c>
      <c r="E38" s="6">
        <f t="shared" si="0"/>
        <v>110.72642262776692</v>
      </c>
      <c r="F38" s="6">
        <f t="shared" si="1"/>
        <v>53998.059719999997</v>
      </c>
      <c r="G38" s="6">
        <f t="shared" si="2"/>
        <v>18175.266666666666</v>
      </c>
      <c r="H38" s="6">
        <f t="shared" si="3"/>
        <v>81.938333333333333</v>
      </c>
      <c r="I38" s="6">
        <f t="shared" si="4"/>
        <v>123.36512883504231</v>
      </c>
      <c r="J38" s="6">
        <f t="shared" ref="J38:L38" si="35">(B33+B34+B35+B36+B37+B38)/6</f>
        <v>52326.454303333332</v>
      </c>
      <c r="K38" s="6">
        <f t="shared" si="35"/>
        <v>17898.608333333334</v>
      </c>
      <c r="L38" s="6">
        <f t="shared" si="35"/>
        <v>81.597499999999982</v>
      </c>
    </row>
    <row r="39" spans="1:12" x14ac:dyDescent="0.3">
      <c r="A39" s="4">
        <v>120.99437713623047</v>
      </c>
      <c r="B39" s="6">
        <v>56655.057739999997</v>
      </c>
      <c r="C39" s="6">
        <v>17303.95</v>
      </c>
      <c r="D39" s="6">
        <v>82.64</v>
      </c>
      <c r="E39" s="6">
        <f t="shared" si="0"/>
        <v>112.15245310465495</v>
      </c>
      <c r="F39" s="6">
        <f t="shared" si="1"/>
        <v>55601.805189999992</v>
      </c>
      <c r="G39" s="6">
        <f t="shared" si="2"/>
        <v>17690.466666666664</v>
      </c>
      <c r="H39" s="6">
        <f t="shared" si="3"/>
        <v>82.365333333333339</v>
      </c>
      <c r="I39" s="6">
        <f t="shared" si="4"/>
        <v>121.38698832194011</v>
      </c>
      <c r="J39" s="6">
        <f t="shared" ref="J39:L39" si="36">(B34+B35+B36+B37+B38+B39)/6</f>
        <v>53163.122011666674</v>
      </c>
      <c r="K39" s="6">
        <f t="shared" si="36"/>
        <v>17822.716666666667</v>
      </c>
      <c r="L39" s="6">
        <f t="shared" si="36"/>
        <v>82.122333333333316</v>
      </c>
    </row>
    <row r="40" spans="1:12" x14ac:dyDescent="0.3">
      <c r="A40" s="4">
        <v>105.37997436523438</v>
      </c>
      <c r="B40" s="6">
        <v>57577.527049999997</v>
      </c>
      <c r="C40" s="6">
        <v>17359.75</v>
      </c>
      <c r="D40" s="6">
        <v>82.16</v>
      </c>
      <c r="E40" s="6">
        <f t="shared" si="0"/>
        <v>110.21379852294922</v>
      </c>
      <c r="F40" s="6">
        <f t="shared" si="1"/>
        <v>56818.08428333333</v>
      </c>
      <c r="G40" s="6">
        <f t="shared" si="2"/>
        <v>17441.95</v>
      </c>
      <c r="H40" s="6">
        <f t="shared" si="3"/>
        <v>82.179666666666677</v>
      </c>
      <c r="I40" s="6">
        <f t="shared" si="4"/>
        <v>116.95267232259114</v>
      </c>
      <c r="J40" s="6">
        <f t="shared" ref="J40:L40" si="37">(B35+B36+B37+B38+B39+B40)/6</f>
        <v>54433.207729999995</v>
      </c>
      <c r="K40" s="6">
        <f t="shared" si="37"/>
        <v>17866.95</v>
      </c>
      <c r="L40" s="6">
        <f t="shared" si="37"/>
        <v>82.230833333333337</v>
      </c>
    </row>
    <row r="41" spans="1:12" x14ac:dyDescent="0.3">
      <c r="A41" s="4">
        <v>106.80965423583984</v>
      </c>
      <c r="B41" s="6">
        <v>60128.425150000003</v>
      </c>
      <c r="C41" s="6">
        <v>18065</v>
      </c>
      <c r="D41" s="6">
        <v>81.72</v>
      </c>
      <c r="E41" s="6">
        <f t="shared" si="0"/>
        <v>111.06133524576823</v>
      </c>
      <c r="F41" s="6">
        <f t="shared" si="1"/>
        <v>58120.336646666663</v>
      </c>
      <c r="G41" s="6">
        <f t="shared" si="2"/>
        <v>17576.233333333334</v>
      </c>
      <c r="H41" s="6">
        <f t="shared" si="3"/>
        <v>82.173333333333332</v>
      </c>
      <c r="I41" s="6">
        <f t="shared" si="4"/>
        <v>110.89387893676758</v>
      </c>
      <c r="J41" s="6">
        <f t="shared" ref="J41:L41" si="38">(B36+B37+B38+B39+B40+B41)/6</f>
        <v>56059.198183333334</v>
      </c>
      <c r="K41" s="6">
        <f t="shared" si="38"/>
        <v>17875.75</v>
      </c>
      <c r="L41" s="6">
        <f t="shared" si="38"/>
        <v>82.055833333333339</v>
      </c>
    </row>
    <row r="42" spans="1:12" x14ac:dyDescent="0.3">
      <c r="A42" s="4">
        <v>108.46768188476563</v>
      </c>
      <c r="B42" s="6">
        <v>60551.864829999999</v>
      </c>
      <c r="C42" s="6">
        <v>18534.400000000001</v>
      </c>
      <c r="D42" s="6">
        <v>82.68</v>
      </c>
      <c r="E42" s="6">
        <f t="shared" si="0"/>
        <v>106.88577016194661</v>
      </c>
      <c r="F42" s="6">
        <f t="shared" si="1"/>
        <v>59419.272343333338</v>
      </c>
      <c r="G42" s="6">
        <f t="shared" si="2"/>
        <v>17986.383333333335</v>
      </c>
      <c r="H42" s="6">
        <f t="shared" si="3"/>
        <v>82.186666666666667</v>
      </c>
      <c r="I42" s="6">
        <f t="shared" si="4"/>
        <v>109.51911163330078</v>
      </c>
      <c r="J42" s="6">
        <f t="shared" ref="J42:L42" si="39">(B37+B38+B39+B40+B41+B42)/6</f>
        <v>57510.538766666665</v>
      </c>
      <c r="K42" s="6">
        <f t="shared" si="39"/>
        <v>17838.424999999999</v>
      </c>
      <c r="L42" s="6">
        <f t="shared" si="39"/>
        <v>82.275999999999996</v>
      </c>
    </row>
    <row r="43" spans="1:12" x14ac:dyDescent="0.3">
      <c r="A43" s="4">
        <v>110.52894592285156</v>
      </c>
      <c r="B43" s="6">
        <v>59023.005969999998</v>
      </c>
      <c r="C43" s="6">
        <v>19189.05</v>
      </c>
      <c r="D43" s="6">
        <v>82.090999999999994</v>
      </c>
      <c r="E43" s="6">
        <f t="shared" si="0"/>
        <v>108.60209401448567</v>
      </c>
      <c r="F43" s="6">
        <f t="shared" si="1"/>
        <v>59901.09865</v>
      </c>
      <c r="G43" s="6">
        <f t="shared" si="2"/>
        <v>18596.149999999998</v>
      </c>
      <c r="H43" s="6">
        <f t="shared" si="3"/>
        <v>82.163666666666657</v>
      </c>
      <c r="I43" s="6">
        <f t="shared" si="4"/>
        <v>109.40794626871745</v>
      </c>
      <c r="J43" s="6">
        <f t="shared" ref="J43:L43" si="40">(B38+B39+B40+B41+B42+B43)/6</f>
        <v>58359.591466666665</v>
      </c>
      <c r="K43" s="6">
        <f t="shared" si="40"/>
        <v>18019.05</v>
      </c>
      <c r="L43" s="6">
        <f t="shared" si="40"/>
        <v>82.171666666666667</v>
      </c>
    </row>
    <row r="44" spans="1:12" x14ac:dyDescent="0.3">
      <c r="A44" s="4">
        <v>107.44878387451172</v>
      </c>
      <c r="B44" s="6">
        <v>58937.056040000003</v>
      </c>
      <c r="C44" s="6">
        <v>19753.8</v>
      </c>
      <c r="D44" s="6">
        <v>82.24</v>
      </c>
      <c r="E44" s="6">
        <f t="shared" si="0"/>
        <v>108.8151372273763</v>
      </c>
      <c r="F44" s="6">
        <f t="shared" si="1"/>
        <v>59503.975613333336</v>
      </c>
      <c r="G44" s="6">
        <f t="shared" si="2"/>
        <v>19159.083333333332</v>
      </c>
      <c r="H44" s="6">
        <f t="shared" si="3"/>
        <v>82.337000000000003</v>
      </c>
      <c r="I44" s="6">
        <f t="shared" si="4"/>
        <v>109.93823623657227</v>
      </c>
      <c r="J44" s="6">
        <f t="shared" ref="J44:L44" si="41">(B39+B40+B41+B42+B43+B44)/6</f>
        <v>58812.156129999996</v>
      </c>
      <c r="K44" s="6">
        <f t="shared" si="41"/>
        <v>18367.658333333336</v>
      </c>
      <c r="L44" s="6">
        <f t="shared" si="41"/>
        <v>82.255166666666682</v>
      </c>
    </row>
    <row r="45" spans="1:12" x14ac:dyDescent="0.3">
      <c r="A45" s="4">
        <v>101.14118194580078</v>
      </c>
      <c r="B45" s="6">
        <v>58722.136200000001</v>
      </c>
      <c r="C45" s="6">
        <v>19253.8</v>
      </c>
      <c r="D45" s="6">
        <v>82.701999999999998</v>
      </c>
      <c r="E45" s="6">
        <f t="shared" si="0"/>
        <v>106.37297058105469</v>
      </c>
      <c r="F45" s="6">
        <f t="shared" si="1"/>
        <v>58894.066070000001</v>
      </c>
      <c r="G45" s="6">
        <f t="shared" si="2"/>
        <v>19398.883333333331</v>
      </c>
      <c r="H45" s="6">
        <f t="shared" si="3"/>
        <v>82.344333333333324</v>
      </c>
      <c r="I45" s="6">
        <f t="shared" si="4"/>
        <v>106.62937037150066</v>
      </c>
      <c r="J45" s="6">
        <f t="shared" ref="J45:L45" si="42">(B40+B41+B42+B43+B44+B45)/6</f>
        <v>59156.669206666673</v>
      </c>
      <c r="K45" s="6">
        <f t="shared" si="42"/>
        <v>18692.633333333335</v>
      </c>
      <c r="L45" s="6">
        <f t="shared" si="42"/>
        <v>82.265500000000003</v>
      </c>
    </row>
    <row r="46" spans="1:12" x14ac:dyDescent="0.3">
      <c r="A46" s="4">
        <v>98.634811401367188</v>
      </c>
      <c r="B46" s="6">
        <v>58785.386149999998</v>
      </c>
      <c r="C46" s="6">
        <v>19638.3</v>
      </c>
      <c r="D46" s="6">
        <v>83.03</v>
      </c>
      <c r="E46" s="6">
        <f t="shared" si="0"/>
        <v>102.40825907389323</v>
      </c>
      <c r="F46" s="6">
        <f t="shared" si="1"/>
        <v>58814.859463333334</v>
      </c>
      <c r="G46" s="6">
        <f t="shared" si="2"/>
        <v>19548.633333333331</v>
      </c>
      <c r="H46" s="6">
        <f t="shared" si="3"/>
        <v>82.657333333333341</v>
      </c>
      <c r="I46" s="6">
        <f t="shared" si="4"/>
        <v>105.50517654418945</v>
      </c>
      <c r="J46" s="6">
        <f t="shared" ref="J46:L46" si="43">(B41+B42+B43+B44+B45+B46)/6</f>
        <v>59357.979056666663</v>
      </c>
      <c r="K46" s="6">
        <f t="shared" si="43"/>
        <v>19072.391666666666</v>
      </c>
      <c r="L46" s="6">
        <f t="shared" si="43"/>
        <v>82.410499999999999</v>
      </c>
    </row>
    <row r="47" spans="1:12" x14ac:dyDescent="0.3">
      <c r="A47" s="4">
        <v>197.88700866699219</v>
      </c>
      <c r="B47" s="6">
        <v>58852.666100000002</v>
      </c>
      <c r="C47" s="6">
        <v>19079.599999999999</v>
      </c>
      <c r="D47" s="6">
        <v>83.256</v>
      </c>
      <c r="E47" s="6">
        <f t="shared" si="0"/>
        <v>132.55433400472006</v>
      </c>
      <c r="F47" s="6">
        <f t="shared" si="1"/>
        <v>58786.729483333336</v>
      </c>
      <c r="G47" s="6">
        <f t="shared" si="2"/>
        <v>19323.899999999998</v>
      </c>
      <c r="H47" s="6">
        <f t="shared" si="3"/>
        <v>82.995999999999995</v>
      </c>
      <c r="I47" s="6">
        <f t="shared" si="4"/>
        <v>120.68473561604817</v>
      </c>
      <c r="J47" s="6">
        <f t="shared" ref="J47:L47" si="44">(B42+B43+B44+B45+B46+B47)/6</f>
        <v>59145.352548333329</v>
      </c>
      <c r="K47" s="6">
        <f t="shared" si="44"/>
        <v>19241.491666666669</v>
      </c>
      <c r="L47" s="6">
        <f t="shared" si="44"/>
        <v>82.666499999999999</v>
      </c>
    </row>
    <row r="48" spans="1:12" x14ac:dyDescent="0.3">
      <c r="A48" s="4">
        <v>156.69613647460938</v>
      </c>
      <c r="B48" s="6">
        <v>60769.274669999999</v>
      </c>
      <c r="C48" s="6">
        <v>20133.150000000001</v>
      </c>
      <c r="D48" s="6">
        <v>83.356999999999999</v>
      </c>
      <c r="E48" s="6">
        <f t="shared" si="0"/>
        <v>151.07265218098959</v>
      </c>
      <c r="F48" s="6">
        <f t="shared" si="1"/>
        <v>59469.108973333343</v>
      </c>
      <c r="G48" s="6">
        <f t="shared" si="2"/>
        <v>19617.016666666666</v>
      </c>
      <c r="H48" s="6">
        <f t="shared" si="3"/>
        <v>83.214333333333329</v>
      </c>
      <c r="I48" s="6">
        <f t="shared" si="4"/>
        <v>128.72281138102213</v>
      </c>
      <c r="J48" s="6">
        <f t="shared" ref="J48:L48" si="45">(B43+B44+B45+B46+B47+B48)/6</f>
        <v>59181.587521666668</v>
      </c>
      <c r="K48" s="6">
        <f t="shared" si="45"/>
        <v>19507.949999999997</v>
      </c>
      <c r="L48" s="6">
        <f t="shared" si="45"/>
        <v>82.779333333333327</v>
      </c>
    </row>
    <row r="49" spans="1:12" x14ac:dyDescent="0.3">
      <c r="A49" s="4">
        <v>142.27946472167969</v>
      </c>
      <c r="B49" s="6">
        <v>62218.703589999997</v>
      </c>
      <c r="C49" s="6">
        <v>21731.4</v>
      </c>
      <c r="D49" s="6">
        <v>83.19</v>
      </c>
      <c r="E49" s="6">
        <f t="shared" si="0"/>
        <v>165.62086995442709</v>
      </c>
      <c r="F49" s="6">
        <f t="shared" si="1"/>
        <v>60613.548119999999</v>
      </c>
      <c r="G49" s="6">
        <f t="shared" si="2"/>
        <v>20314.716666666667</v>
      </c>
      <c r="H49" s="6">
        <f t="shared" si="3"/>
        <v>83.26766666666667</v>
      </c>
      <c r="I49" s="6">
        <f t="shared" si="4"/>
        <v>134.01456451416016</v>
      </c>
      <c r="J49" s="6">
        <f t="shared" ref="J49:L49" si="46">(B44+B45+B46+B47+B48+B49)/6</f>
        <v>59714.203791666667</v>
      </c>
      <c r="K49" s="6">
        <f t="shared" si="46"/>
        <v>19931.674999999999</v>
      </c>
      <c r="L49" s="6">
        <f t="shared" si="46"/>
        <v>82.962500000000006</v>
      </c>
    </row>
    <row r="50" spans="1:12" x14ac:dyDescent="0.3">
      <c r="A50" s="4">
        <v>160.3736572265625</v>
      </c>
      <c r="B50" s="6">
        <v>62336.273500000003</v>
      </c>
      <c r="C50" s="6">
        <v>21725.7</v>
      </c>
      <c r="D50" s="6">
        <v>83.094999999999999</v>
      </c>
      <c r="E50" s="6">
        <f t="shared" si="0"/>
        <v>153.11641947428384</v>
      </c>
      <c r="F50" s="6">
        <f t="shared" si="1"/>
        <v>61774.750586666669</v>
      </c>
      <c r="G50" s="6">
        <f t="shared" si="2"/>
        <v>21196.75</v>
      </c>
      <c r="H50" s="6">
        <f t="shared" si="3"/>
        <v>83.213999999999999</v>
      </c>
      <c r="I50" s="6">
        <f t="shared" si="4"/>
        <v>142.83537673950195</v>
      </c>
      <c r="J50" s="6">
        <f t="shared" ref="J50:L50" si="47">(B45+B46+B47+B48+B49+B50)/6</f>
        <v>60280.740035000003</v>
      </c>
      <c r="K50" s="6">
        <f t="shared" si="47"/>
        <v>20260.325000000001</v>
      </c>
      <c r="L50" s="6">
        <f t="shared" si="47"/>
        <v>83.105000000000004</v>
      </c>
    </row>
    <row r="51" spans="1:12" x14ac:dyDescent="0.3">
      <c r="A51" s="4">
        <v>146.59817504882813</v>
      </c>
      <c r="B51" s="6">
        <v>62030.713730000003</v>
      </c>
      <c r="C51" s="6">
        <v>21982.799999999999</v>
      </c>
      <c r="D51" s="6">
        <v>82.9</v>
      </c>
      <c r="E51" s="6">
        <f t="shared" si="0"/>
        <v>149.75043233235678</v>
      </c>
      <c r="F51" s="6">
        <f t="shared" si="1"/>
        <v>62195.230273333342</v>
      </c>
      <c r="G51" s="6">
        <f t="shared" si="2"/>
        <v>21813.300000000003</v>
      </c>
      <c r="H51" s="6">
        <f t="shared" si="3"/>
        <v>83.061666666666667</v>
      </c>
      <c r="I51" s="6">
        <f t="shared" si="4"/>
        <v>150.41154225667319</v>
      </c>
      <c r="J51" s="6">
        <f t="shared" ref="J51:L51" si="48">(B46+B47+B48+B49+B50+B51)/6</f>
        <v>60832.169623333342</v>
      </c>
      <c r="K51" s="6">
        <f t="shared" si="48"/>
        <v>20715.158333333333</v>
      </c>
      <c r="L51" s="6">
        <f t="shared" si="48"/>
        <v>83.137999999999991</v>
      </c>
    </row>
    <row r="52" spans="1:12" x14ac:dyDescent="0.3">
      <c r="A52" s="4">
        <v>133.21316528320313</v>
      </c>
      <c r="B52" s="6">
        <v>65305.701289999997</v>
      </c>
      <c r="C52" s="6">
        <v>22326.9</v>
      </c>
      <c r="D52" s="6">
        <v>83.35</v>
      </c>
      <c r="E52" s="6">
        <f t="shared" si="0"/>
        <v>146.72833251953125</v>
      </c>
      <c r="F52" s="6">
        <f t="shared" si="1"/>
        <v>63224.229506666663</v>
      </c>
      <c r="G52" s="6">
        <f t="shared" si="2"/>
        <v>22011.8</v>
      </c>
      <c r="H52" s="6">
        <f t="shared" si="3"/>
        <v>83.114999999999995</v>
      </c>
      <c r="I52" s="6">
        <f t="shared" si="4"/>
        <v>156.17460123697916</v>
      </c>
      <c r="J52" s="6">
        <f t="shared" ref="J52:L52" si="49">(B47+B48+B49+B50+B51+B52)/6</f>
        <v>61918.888813333331</v>
      </c>
      <c r="K52" s="6">
        <f t="shared" si="49"/>
        <v>21163.258333333335</v>
      </c>
      <c r="L52" s="6">
        <f t="shared" si="49"/>
        <v>83.191333333333333</v>
      </c>
    </row>
    <row r="53" spans="1:12" x14ac:dyDescent="0.3">
      <c r="A53" s="4">
        <v>163.94734191894531</v>
      </c>
      <c r="B53" s="6">
        <v>71481.626680000001</v>
      </c>
      <c r="C53" s="6">
        <v>22604.85</v>
      </c>
      <c r="D53" s="6">
        <v>83.45</v>
      </c>
      <c r="E53" s="6">
        <f t="shared" si="0"/>
        <v>147.91956075032553</v>
      </c>
      <c r="F53" s="6">
        <f t="shared" si="1"/>
        <v>66272.680566666662</v>
      </c>
      <c r="G53" s="6">
        <f t="shared" si="2"/>
        <v>22304.849999999995</v>
      </c>
      <c r="H53" s="6">
        <f t="shared" si="3"/>
        <v>83.233333333333334</v>
      </c>
      <c r="I53" s="6">
        <f t="shared" si="4"/>
        <v>150.51799011230469</v>
      </c>
      <c r="J53" s="6">
        <f t="shared" ref="J53:L53" si="50">(B48+B49+B50+B51+B52+B53)/6</f>
        <v>64023.715576666669</v>
      </c>
      <c r="K53" s="6">
        <f t="shared" si="50"/>
        <v>21750.800000000003</v>
      </c>
      <c r="L53" s="6">
        <f t="shared" si="50"/>
        <v>83.223666666666674</v>
      </c>
    </row>
    <row r="54" spans="1:12" x14ac:dyDescent="0.3">
      <c r="A54" s="4">
        <v>130.52186584472656</v>
      </c>
      <c r="B54" s="6">
        <v>72180.336160000006</v>
      </c>
      <c r="C54" s="6">
        <v>22530.7</v>
      </c>
      <c r="D54" s="6">
        <v>83.424000000000007</v>
      </c>
      <c r="E54" s="6">
        <f t="shared" si="0"/>
        <v>142.560791015625</v>
      </c>
      <c r="F54" s="6">
        <f t="shared" si="1"/>
        <v>69655.888043333325</v>
      </c>
      <c r="G54" s="6">
        <f t="shared" si="2"/>
        <v>22487.483333333334</v>
      </c>
      <c r="H54" s="6">
        <f t="shared" si="3"/>
        <v>83.408000000000001</v>
      </c>
      <c r="I54" s="6">
        <f t="shared" si="4"/>
        <v>146.15561167399088</v>
      </c>
      <c r="J54" s="6">
        <f t="shared" ref="J54:L54" si="51">(B49+B50+B51+B52+B53+B54)/6</f>
        <v>65925.55915833333</v>
      </c>
      <c r="K54" s="6">
        <f t="shared" si="51"/>
        <v>22150.391666666674</v>
      </c>
      <c r="L54" s="6">
        <f t="shared" si="51"/>
        <v>83.234833333333327</v>
      </c>
    </row>
    <row r="55" spans="1:12" x14ac:dyDescent="0.3">
      <c r="A55" s="4">
        <v>113.09279632568359</v>
      </c>
      <c r="B55" s="6">
        <v>71545.746629999994</v>
      </c>
      <c r="C55" s="6">
        <v>24010.6</v>
      </c>
      <c r="D55" s="6">
        <v>83.355000000000004</v>
      </c>
      <c r="E55" s="6">
        <f t="shared" si="0"/>
        <v>135.8540013631185</v>
      </c>
      <c r="F55" s="6">
        <f t="shared" si="1"/>
        <v>71735.903156666667</v>
      </c>
      <c r="G55" s="6">
        <f t="shared" si="2"/>
        <v>23048.716666666664</v>
      </c>
      <c r="H55" s="6">
        <f t="shared" si="3"/>
        <v>83.409666666666681</v>
      </c>
      <c r="I55" s="6">
        <f t="shared" si="4"/>
        <v>141.29116694132486</v>
      </c>
      <c r="J55" s="6">
        <f t="shared" ref="J55:L55" si="52">(B50+B51+B52+B53+B54+B55)/6</f>
        <v>67480.066331666676</v>
      </c>
      <c r="K55" s="6">
        <f t="shared" si="52"/>
        <v>22530.258333333331</v>
      </c>
      <c r="L55" s="6">
        <f t="shared" si="52"/>
        <v>83.262333333333345</v>
      </c>
    </row>
    <row r="56" spans="1:12" x14ac:dyDescent="0.3">
      <c r="A56" s="4">
        <v>92.394874572753906</v>
      </c>
      <c r="B56" s="6">
        <v>71379.59676</v>
      </c>
      <c r="C56" s="6">
        <v>24951.15</v>
      </c>
      <c r="D56" s="6">
        <v>83.698999999999998</v>
      </c>
      <c r="E56" s="6">
        <f t="shared" si="0"/>
        <v>112.00317891438802</v>
      </c>
      <c r="F56" s="6">
        <f t="shared" si="1"/>
        <v>71701.893183333334</v>
      </c>
      <c r="G56" s="6">
        <f t="shared" si="2"/>
        <v>23830.816666666669</v>
      </c>
      <c r="H56" s="6">
        <f t="shared" si="3"/>
        <v>83.492666666666665</v>
      </c>
      <c r="I56" s="6">
        <f t="shared" si="4"/>
        <v>129.96136983235678</v>
      </c>
      <c r="J56" s="6">
        <f t="shared" ref="J56:L56" si="53">(B51+B52+B53+B54+B55+B56)/6</f>
        <v>68987.286875000005</v>
      </c>
      <c r="K56" s="6">
        <f t="shared" si="53"/>
        <v>23067.833333333328</v>
      </c>
      <c r="L56" s="6">
        <f t="shared" si="53"/>
        <v>83.363000000000014</v>
      </c>
    </row>
    <row r="57" spans="1:12" x14ac:dyDescent="0.3">
      <c r="A57" s="4">
        <v>140.97506713867188</v>
      </c>
      <c r="B57" s="6">
        <v>70380.707500000004</v>
      </c>
      <c r="C57" s="6">
        <v>25235.9</v>
      </c>
      <c r="D57" s="6">
        <v>83.867000000000004</v>
      </c>
      <c r="E57" s="6">
        <f t="shared" si="0"/>
        <v>115.48757934570313</v>
      </c>
      <c r="F57" s="6">
        <f t="shared" si="1"/>
        <v>71102.016963333343</v>
      </c>
      <c r="G57" s="6">
        <f t="shared" si="2"/>
        <v>24732.55</v>
      </c>
      <c r="H57" s="6">
        <f t="shared" si="3"/>
        <v>83.640333333333331</v>
      </c>
      <c r="I57" s="6">
        <f t="shared" si="4"/>
        <v>129.02418518066406</v>
      </c>
      <c r="J57" s="6">
        <f t="shared" ref="J57:L57" si="54">(B52+B53+B54+B55+B56+B57)/6</f>
        <v>70378.952503333334</v>
      </c>
      <c r="K57" s="6">
        <f t="shared" si="54"/>
        <v>23610.016666666663</v>
      </c>
      <c r="L57" s="6">
        <f t="shared" si="54"/>
        <v>83.524166666666673</v>
      </c>
    </row>
    <row r="58" spans="1:12" x14ac:dyDescent="0.3">
      <c r="A58" s="4">
        <v>130.35877990722656</v>
      </c>
      <c r="B58" s="6">
        <v>72882.655639999997</v>
      </c>
      <c r="C58" s="6">
        <v>25810.85</v>
      </c>
      <c r="D58" s="6">
        <v>83.754999999999995</v>
      </c>
      <c r="E58" s="6">
        <f t="shared" si="0"/>
        <v>121.24290720621745</v>
      </c>
      <c r="F58" s="6">
        <f t="shared" si="1"/>
        <v>71547.653300000005</v>
      </c>
      <c r="G58" s="6">
        <f t="shared" si="2"/>
        <v>25332.633333333331</v>
      </c>
      <c r="H58" s="6">
        <f t="shared" si="3"/>
        <v>83.773666666666671</v>
      </c>
      <c r="I58" s="6">
        <f t="shared" si="4"/>
        <v>128.54845428466797</v>
      </c>
      <c r="J58" s="6">
        <f t="shared" ref="J58:L58" si="55">(B53+B54+B55+B56+B57+B58)/6</f>
        <v>71641.778228333336</v>
      </c>
      <c r="K58" s="6">
        <f t="shared" si="55"/>
        <v>24190.674999999999</v>
      </c>
      <c r="L58" s="6">
        <f t="shared" si="55"/>
        <v>83.591666666666683</v>
      </c>
    </row>
    <row r="59" spans="1:12" x14ac:dyDescent="0.3">
      <c r="A59" s="4">
        <v>130.689208984375</v>
      </c>
      <c r="B59" s="6">
        <v>76706.532779999994</v>
      </c>
      <c r="C59" s="6">
        <v>24205.35</v>
      </c>
      <c r="D59" s="6">
        <v>84.061000000000007</v>
      </c>
      <c r="E59" s="6">
        <f t="shared" si="0"/>
        <v>134.00768534342447</v>
      </c>
      <c r="F59" s="6">
        <f t="shared" si="1"/>
        <v>73323.298639999994</v>
      </c>
      <c r="G59" s="6">
        <f t="shared" si="2"/>
        <v>25084.033333333336</v>
      </c>
      <c r="H59" s="6">
        <f t="shared" si="3"/>
        <v>83.894333333333336</v>
      </c>
      <c r="I59" s="6">
        <f t="shared" si="4"/>
        <v>123.00543212890625</v>
      </c>
      <c r="J59" s="6">
        <f t="shared" ref="J59:L59" si="56">(B54+B55+B56+B57+B58+B59)/6</f>
        <v>72512.595911666678</v>
      </c>
      <c r="K59" s="6">
        <f t="shared" si="56"/>
        <v>24457.425000000003</v>
      </c>
      <c r="L59" s="6">
        <f t="shared" si="56"/>
        <v>83.693500000000014</v>
      </c>
    </row>
    <row r="60" spans="1:12" x14ac:dyDescent="0.3">
      <c r="A60" s="4">
        <v>128.90164184570313</v>
      </c>
      <c r="B60" s="6">
        <v>76268.423110000003</v>
      </c>
      <c r="C60" s="6">
        <v>24131.1</v>
      </c>
      <c r="D60" s="6">
        <v>84.558999999999997</v>
      </c>
      <c r="E60" s="6">
        <f t="shared" si="0"/>
        <v>129.98321024576822</v>
      </c>
      <c r="F60" s="6">
        <f t="shared" si="1"/>
        <v>75285.870509999993</v>
      </c>
      <c r="G60" s="6">
        <f t="shared" si="2"/>
        <v>24715.766666666663</v>
      </c>
      <c r="H60" s="6">
        <f t="shared" si="3"/>
        <v>84.125</v>
      </c>
      <c r="I60" s="6">
        <f t="shared" si="4"/>
        <v>122.73539479573567</v>
      </c>
      <c r="J60" s="6">
        <f t="shared" ref="J60:L60" si="57">(B55+B56+B57+B58+B59+B60)/6</f>
        <v>73193.943736666683</v>
      </c>
      <c r="K60" s="6">
        <f t="shared" si="57"/>
        <v>24724.158333333336</v>
      </c>
      <c r="L60" s="6">
        <f t="shared" si="57"/>
        <v>83.882666666666651</v>
      </c>
    </row>
    <row r="61" spans="1:12" x14ac:dyDescent="0.3">
      <c r="A61" s="4">
        <v>142.36643981933594</v>
      </c>
      <c r="B61" s="6">
        <v>76219.373149999999</v>
      </c>
      <c r="C61" s="6">
        <v>23644.799999999999</v>
      </c>
      <c r="D61" s="6">
        <v>85.554000000000002</v>
      </c>
      <c r="E61" s="6">
        <f t="shared" si="0"/>
        <v>133.98576354980469</v>
      </c>
      <c r="F61" s="6">
        <f t="shared" si="1"/>
        <v>76398.109679999994</v>
      </c>
      <c r="G61" s="6">
        <f t="shared" si="2"/>
        <v>23993.75</v>
      </c>
      <c r="H61" s="6">
        <f t="shared" si="3"/>
        <v>84.724666666666664</v>
      </c>
      <c r="I61" s="6">
        <f t="shared" si="4"/>
        <v>127.61433537801106</v>
      </c>
      <c r="J61" s="6">
        <f t="shared" ref="J61:L61" si="58">(B56+B57+B58+B59+B60+B61)/6</f>
        <v>73972.88149</v>
      </c>
      <c r="K61" s="6">
        <f t="shared" si="58"/>
        <v>24663.191666666666</v>
      </c>
      <c r="L61" s="6">
        <f t="shared" si="58"/>
        <v>84.249166666666667</v>
      </c>
    </row>
    <row r="62" spans="1:12" x14ac:dyDescent="0.3">
      <c r="A62" s="4">
        <v>112.33326721191406</v>
      </c>
      <c r="B62" s="6">
        <v>78634.771349999995</v>
      </c>
      <c r="C62" s="6">
        <v>23508.400000000001</v>
      </c>
      <c r="D62" s="6">
        <v>86.561000000000007</v>
      </c>
      <c r="E62" s="6">
        <f t="shared" si="0"/>
        <v>127.8671162923177</v>
      </c>
      <c r="F62" s="6">
        <f t="shared" si="1"/>
        <v>77040.855869999999</v>
      </c>
      <c r="G62" s="6">
        <f t="shared" si="2"/>
        <v>23761.433333333331</v>
      </c>
      <c r="H62" s="6">
        <f t="shared" si="3"/>
        <v>85.557999999999993</v>
      </c>
      <c r="I62" s="6">
        <f t="shared" si="4"/>
        <v>130.93740081787109</v>
      </c>
      <c r="J62" s="6">
        <f t="shared" ref="J62:L62" si="59">(B57+B58+B59+B60+B61+B62)/6</f>
        <v>75182.077254999997</v>
      </c>
      <c r="K62" s="6">
        <f t="shared" si="59"/>
        <v>24422.733333333337</v>
      </c>
      <c r="L62" s="6">
        <f t="shared" si="59"/>
        <v>84.726166666666686</v>
      </c>
    </row>
    <row r="63" spans="1:12" x14ac:dyDescent="0.3">
      <c r="A63" s="4">
        <v>136.42637634277344</v>
      </c>
      <c r="B63" s="6">
        <v>85081.936539999995</v>
      </c>
      <c r="C63" s="6">
        <v>22124.7</v>
      </c>
      <c r="D63" s="6">
        <v>87.471000000000004</v>
      </c>
      <c r="E63" s="6">
        <f t="shared" si="0"/>
        <v>130.37536112467447</v>
      </c>
      <c r="F63" s="6">
        <f t="shared" si="1"/>
        <v>79978.693679999997</v>
      </c>
      <c r="G63" s="6">
        <f t="shared" si="2"/>
        <v>23092.633333333331</v>
      </c>
      <c r="H63" s="6">
        <f t="shared" si="3"/>
        <v>86.528666666666666</v>
      </c>
      <c r="I63" s="6">
        <f t="shared" si="4"/>
        <v>130.17928568522134</v>
      </c>
      <c r="J63" s="6">
        <f t="shared" ref="J63:L63" si="60">(B58+B59+B60+B61+B62+B63)/6</f>
        <v>77632.282094999988</v>
      </c>
      <c r="K63" s="6">
        <f t="shared" si="60"/>
        <v>23904.2</v>
      </c>
      <c r="L63" s="6">
        <f t="shared" si="60"/>
        <v>85.32683333333334</v>
      </c>
    </row>
    <row r="64" spans="1:12" x14ac:dyDescent="0.3">
      <c r="A64" s="4">
        <v>175.44340515136719</v>
      </c>
      <c r="B64" s="6">
        <v>86940.885150000002</v>
      </c>
      <c r="C64" s="6">
        <v>23519.35</v>
      </c>
      <c r="D64" s="6">
        <v>85.46</v>
      </c>
      <c r="E64" s="6">
        <f t="shared" si="0"/>
        <v>141.40101623535156</v>
      </c>
      <c r="F64" s="6">
        <f t="shared" si="1"/>
        <v>83552.531013333341</v>
      </c>
      <c r="G64" s="6">
        <f t="shared" si="2"/>
        <v>23050.816666666669</v>
      </c>
      <c r="H64" s="6">
        <f t="shared" si="3"/>
        <v>86.497333333333344</v>
      </c>
      <c r="I64" s="6">
        <f t="shared" si="4"/>
        <v>137.69338989257813</v>
      </c>
      <c r="J64" s="6">
        <f t="shared" ref="J64:L64" si="61">(B59+B60+B61+B62+B63+B64)/6</f>
        <v>79975.32034666666</v>
      </c>
      <c r="K64" s="6">
        <f t="shared" si="61"/>
        <v>23522.283333333329</v>
      </c>
      <c r="L64" s="6">
        <f t="shared" si="61"/>
        <v>85.611000000000004</v>
      </c>
    </row>
    <row r="65" spans="1:12" x14ac:dyDescent="0.3">
      <c r="A65" s="4">
        <v>139.71894836425781</v>
      </c>
      <c r="B65" s="6">
        <v>92838.260750000001</v>
      </c>
      <c r="C65" s="6">
        <v>24334.2</v>
      </c>
      <c r="D65" s="6">
        <v>84.599000000000004</v>
      </c>
      <c r="E65" s="6">
        <f t="shared" si="0"/>
        <v>150.52957661946616</v>
      </c>
      <c r="F65" s="6">
        <f t="shared" si="1"/>
        <v>88287.027480000004</v>
      </c>
      <c r="G65" s="6">
        <f t="shared" si="2"/>
        <v>23326.083333333332</v>
      </c>
      <c r="H65" s="6">
        <f t="shared" si="3"/>
        <v>85.84333333333332</v>
      </c>
      <c r="I65" s="6">
        <f t="shared" si="4"/>
        <v>139.19834645589194</v>
      </c>
      <c r="J65" s="6">
        <f t="shared" ref="J65:L65" si="62">(B60+B61+B62+B63+B64+B65)/6</f>
        <v>82663.941674999995</v>
      </c>
      <c r="K65" s="6">
        <f t="shared" si="62"/>
        <v>23543.758333333331</v>
      </c>
      <c r="L65" s="6">
        <f t="shared" si="62"/>
        <v>85.700666666666663</v>
      </c>
    </row>
    <row r="66" spans="1:12" x14ac:dyDescent="0.3">
      <c r="A66" s="4">
        <v>165.81121826171875</v>
      </c>
      <c r="B66" s="6">
        <v>94645.979399999997</v>
      </c>
      <c r="C66" s="6">
        <v>24750.7</v>
      </c>
      <c r="D66" s="6">
        <v>85.525000000000006</v>
      </c>
      <c r="E66" s="6">
        <f t="shared" si="0"/>
        <v>160.32452392578125</v>
      </c>
      <c r="F66" s="6">
        <f t="shared" si="1"/>
        <v>91475.041766666676</v>
      </c>
      <c r="G66" s="6">
        <f t="shared" si="2"/>
        <v>24201.416666666668</v>
      </c>
      <c r="H66" s="6">
        <f t="shared" si="3"/>
        <v>85.194666666666663</v>
      </c>
      <c r="I66" s="6">
        <f t="shared" si="4"/>
        <v>145.34994252522787</v>
      </c>
      <c r="J66" s="6">
        <f t="shared" ref="J66:L66" si="63">(B61+B62+B63+B64+B65+B66)/6</f>
        <v>85726.867723333344</v>
      </c>
      <c r="K66" s="6">
        <f t="shared" si="63"/>
        <v>23647.024999999998</v>
      </c>
      <c r="L66" s="6">
        <f t="shared" si="63"/>
        <v>85.861666666666665</v>
      </c>
    </row>
    <row r="67" spans="1:12" x14ac:dyDescent="0.3">
      <c r="A67" s="4">
        <v>222.19857788085938</v>
      </c>
      <c r="B67" s="6">
        <v>97154.497529999993</v>
      </c>
      <c r="C67" s="6">
        <v>25517.05</v>
      </c>
      <c r="D67" s="6">
        <v>85.7</v>
      </c>
      <c r="E67" s="6">
        <f t="shared" si="0"/>
        <v>175.90958150227866</v>
      </c>
      <c r="F67" s="6">
        <f t="shared" si="1"/>
        <v>94879.579226666669</v>
      </c>
      <c r="G67" s="6">
        <f t="shared" si="2"/>
        <v>24867.316666666666</v>
      </c>
      <c r="H67" s="6">
        <f t="shared" si="3"/>
        <v>85.274666666666675</v>
      </c>
      <c r="I67" s="6">
        <f t="shared" si="4"/>
        <v>158.65529886881509</v>
      </c>
      <c r="J67" s="6">
        <f t="shared" ref="J67:L67" si="64">(B62+B63+B64+B65+B66+B67)/6</f>
        <v>89216.05511999999</v>
      </c>
      <c r="K67" s="6">
        <f t="shared" si="64"/>
        <v>23959.066666666666</v>
      </c>
      <c r="L67" s="6">
        <f t="shared" si="64"/>
        <v>85.88600000000001</v>
      </c>
    </row>
    <row r="68" spans="1:12" x14ac:dyDescent="0.3">
      <c r="A68" s="4">
        <v>134.79460144042969</v>
      </c>
      <c r="B68" s="6">
        <v>97560.407229999997</v>
      </c>
      <c r="C68" s="6">
        <v>24768.35</v>
      </c>
      <c r="D68" s="6">
        <v>87.524000000000001</v>
      </c>
      <c r="E68" s="6">
        <f t="shared" si="0"/>
        <v>174.26813252766928</v>
      </c>
      <c r="F68" s="6">
        <f t="shared" si="1"/>
        <v>96453.628053333334</v>
      </c>
      <c r="G68" s="6">
        <f t="shared" si="2"/>
        <v>25012.033333333336</v>
      </c>
      <c r="H68" s="6">
        <f t="shared" si="3"/>
        <v>86.24966666666667</v>
      </c>
      <c r="I68" s="6">
        <f t="shared" si="4"/>
        <v>162.39885457356772</v>
      </c>
      <c r="J68" s="6">
        <f t="shared" ref="J68:L68" si="65">(B63+B64+B65+B66+B67+B68)/6</f>
        <v>92370.327766666669</v>
      </c>
      <c r="K68" s="6">
        <f t="shared" si="65"/>
        <v>24169.058333333334</v>
      </c>
      <c r="L68" s="6">
        <f t="shared" si="65"/>
        <v>86.046499999999995</v>
      </c>
    </row>
    <row r="69" spans="1:12" x14ac:dyDescent="0.3">
      <c r="A69" s="4">
        <v>136.74961853027344</v>
      </c>
      <c r="B69" s="6">
        <v>99704.675629999998</v>
      </c>
      <c r="C69" s="6">
        <v>24426.85</v>
      </c>
      <c r="D69" s="6">
        <v>88.174000000000007</v>
      </c>
      <c r="E69" s="6">
        <f t="shared" ref="E69:E72" si="66">(A67+A68+A69)/3</f>
        <v>164.5809326171875</v>
      </c>
      <c r="F69" s="6">
        <f t="shared" ref="F69:F72" si="67">(B67+B68+B69)/3</f>
        <v>98139.860130000001</v>
      </c>
      <c r="G69" s="6">
        <f t="shared" ref="G69:G72" si="68">(C67+C68+C69)/3</f>
        <v>24904.083333333332</v>
      </c>
      <c r="H69" s="6">
        <f t="shared" ref="H69:H72" si="69">(D67+D68+D69)/3</f>
        <v>87.13266666666668</v>
      </c>
      <c r="I69" s="6">
        <f t="shared" si="4"/>
        <v>162.45272827148438</v>
      </c>
      <c r="J69" s="6">
        <f t="shared" ref="J69:L69" si="70">(B64+B65+B66+B67+B68+B69)/6</f>
        <v>94807.450948333324</v>
      </c>
      <c r="K69" s="6">
        <f t="shared" si="70"/>
        <v>24552.75</v>
      </c>
      <c r="L69" s="6">
        <f t="shared" si="70"/>
        <v>86.163666666666657</v>
      </c>
    </row>
    <row r="70" spans="1:12" x14ac:dyDescent="0.3">
      <c r="A70" s="4">
        <v>124.10614776611328</v>
      </c>
      <c r="B70" s="6">
        <v>109576.0583</v>
      </c>
      <c r="C70" s="6">
        <v>24611.1</v>
      </c>
      <c r="D70" s="6">
        <v>88.840999999999994</v>
      </c>
      <c r="E70" s="6">
        <f t="shared" si="66"/>
        <v>131.88345591227213</v>
      </c>
      <c r="F70" s="6">
        <f t="shared" si="67"/>
        <v>102280.38038666667</v>
      </c>
      <c r="G70" s="6">
        <f t="shared" si="68"/>
        <v>24602.099999999995</v>
      </c>
      <c r="H70" s="6">
        <f t="shared" si="69"/>
        <v>88.179666666666662</v>
      </c>
      <c r="I70" s="6">
        <f t="shared" si="4"/>
        <v>153.89651870727539</v>
      </c>
      <c r="J70" s="6">
        <f t="shared" ref="J70:L70" si="71">(B65+B66+B67+B68+B69+B70)/6</f>
        <v>98579.97980666667</v>
      </c>
      <c r="K70" s="6">
        <f t="shared" si="71"/>
        <v>24734.708333333332</v>
      </c>
      <c r="L70" s="6">
        <f t="shared" si="71"/>
        <v>86.727166666666676</v>
      </c>
    </row>
    <row r="71" spans="1:12" x14ac:dyDescent="0.3">
      <c r="A71" s="4">
        <v>154.43557739257813</v>
      </c>
      <c r="B71" s="6">
        <v>122815.22840000001</v>
      </c>
      <c r="C71" s="6">
        <v>25722.1</v>
      </c>
      <c r="D71" s="6">
        <v>88.769000000000005</v>
      </c>
      <c r="E71" s="6">
        <f t="shared" si="66"/>
        <v>138.43044789632162</v>
      </c>
      <c r="F71" s="6">
        <f t="shared" si="67"/>
        <v>110698.65411</v>
      </c>
      <c r="G71" s="6">
        <f t="shared" si="68"/>
        <v>24920.016666666663</v>
      </c>
      <c r="H71" s="6">
        <f t="shared" si="69"/>
        <v>88.594666666666669</v>
      </c>
      <c r="I71" s="6">
        <f t="shared" si="4"/>
        <v>156.34929021199545</v>
      </c>
      <c r="J71" s="6">
        <f t="shared" ref="J71:L71" si="72">(B66+B67+B68+B69+B70+B71)/6</f>
        <v>103576.14108166668</v>
      </c>
      <c r="K71" s="6">
        <f t="shared" si="72"/>
        <v>24966.025000000005</v>
      </c>
      <c r="L71" s="6">
        <f t="shared" si="72"/>
        <v>87.422166666666669</v>
      </c>
    </row>
    <row r="72" spans="1:12" x14ac:dyDescent="0.3">
      <c r="A72" s="4">
        <v>99.912399291992188</v>
      </c>
      <c r="B72" s="6">
        <v>122847.55839999999</v>
      </c>
      <c r="C72" s="6">
        <v>26202.95</v>
      </c>
      <c r="D72" s="6">
        <v>89.356999999999999</v>
      </c>
      <c r="E72" s="6">
        <f t="shared" si="66"/>
        <v>126.15137481689453</v>
      </c>
      <c r="F72" s="6">
        <f t="shared" si="67"/>
        <v>118412.94836666666</v>
      </c>
      <c r="G72" s="6">
        <f t="shared" si="68"/>
        <v>25512.05</v>
      </c>
      <c r="H72" s="6">
        <f t="shared" si="69"/>
        <v>88.98899999999999</v>
      </c>
      <c r="I72" s="6">
        <f t="shared" ref="I72:L72" si="73">(A67+A68+A69+A70+A71+A72)/6</f>
        <v>145.36615371704102</v>
      </c>
      <c r="J72" s="6">
        <f t="shared" si="73"/>
        <v>108276.40424833335</v>
      </c>
      <c r="K72" s="6">
        <f t="shared" si="73"/>
        <v>25208.066666666669</v>
      </c>
      <c r="L72" s="6">
        <f t="shared" si="73"/>
        <v>88.060833333333335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A697-66AB-4655-A1B9-21FEB21EC92D}">
  <dimension ref="A1:G91"/>
  <sheetViews>
    <sheetView tabSelected="1" topLeftCell="A51" workbookViewId="0">
      <selection activeCell="B79" sqref="B79:B80"/>
    </sheetView>
  </sheetViews>
  <sheetFormatPr defaultRowHeight="14.4" x14ac:dyDescent="0.3"/>
  <cols>
    <col min="1" max="1" width="8.88671875" style="2"/>
    <col min="2" max="2" width="16.77734375" style="2" bestFit="1" customWidth="1"/>
    <col min="3" max="3" width="12.88671875" style="2" bestFit="1" customWidth="1"/>
    <col min="4" max="4" width="13.44140625" style="2" bestFit="1" customWidth="1"/>
    <col min="5" max="5" width="26.88671875" style="2" bestFit="1" customWidth="1"/>
    <col min="6" max="6" width="20.5546875" style="2" bestFit="1" customWidth="1"/>
    <col min="7" max="7" width="21" style="2" bestFit="1" customWidth="1"/>
    <col min="8" max="16384" width="8.88671875" style="2"/>
  </cols>
  <sheetData>
    <row r="1" spans="1:7" x14ac:dyDescent="0.3">
      <c r="A1" s="1" t="s">
        <v>2</v>
      </c>
      <c r="B1" s="5" t="s">
        <v>3</v>
      </c>
      <c r="C1" s="5" t="s">
        <v>22</v>
      </c>
      <c r="D1" s="5" t="s">
        <v>23</v>
      </c>
      <c r="E1" s="1" t="s">
        <v>24</v>
      </c>
      <c r="F1" s="1" t="s">
        <v>25</v>
      </c>
      <c r="G1" s="1" t="s">
        <v>26</v>
      </c>
    </row>
    <row r="2" spans="1:7" x14ac:dyDescent="0.3">
      <c r="A2" s="4">
        <v>138.42094421386719</v>
      </c>
      <c r="B2" s="6">
        <v>39991.54017</v>
      </c>
      <c r="C2" s="4">
        <f t="shared" ref="C2:C33" si="0">A2-$A$77</f>
        <v>18.994676294461101</v>
      </c>
      <c r="D2" s="6">
        <f t="shared" ref="D2:D33" si="1">B2-$B$77</f>
        <v>-21712.637185915504</v>
      </c>
      <c r="E2" s="2">
        <f>C2*D2</f>
        <v>-412424.51484554383</v>
      </c>
      <c r="F2" s="2">
        <f>C2*C2</f>
        <v>360.79772753136251</v>
      </c>
      <c r="G2" s="2">
        <f>D2*D2</f>
        <v>471438613.56720072</v>
      </c>
    </row>
    <row r="3" spans="1:7" x14ac:dyDescent="0.3">
      <c r="A3" s="4">
        <v>75.955558776855469</v>
      </c>
      <c r="B3" s="6">
        <v>41196.719270000001</v>
      </c>
      <c r="C3" s="4">
        <f t="shared" si="0"/>
        <v>-43.470709142550618</v>
      </c>
      <c r="D3" s="6">
        <f t="shared" si="1"/>
        <v>-20507.458085915503</v>
      </c>
      <c r="E3" s="2">
        <f t="shared" ref="E3:E66" si="2">C3*D3</f>
        <v>891473.74570588069</v>
      </c>
      <c r="F3" s="2">
        <f t="shared" ref="F3:F66" si="3">C3*C3</f>
        <v>1889.7025533562339</v>
      </c>
      <c r="G3" s="2">
        <f t="shared" ref="G3:G66" si="4">D3*D3</f>
        <v>420555837.14558113</v>
      </c>
    </row>
    <row r="4" spans="1:7" x14ac:dyDescent="0.3">
      <c r="A4" s="4">
        <v>81.540031433105497</v>
      </c>
      <c r="B4" s="6">
        <v>41726.918879999997</v>
      </c>
      <c r="C4" s="4">
        <f t="shared" si="0"/>
        <v>-37.886236486300589</v>
      </c>
      <c r="D4" s="6">
        <f t="shared" si="1"/>
        <v>-19977.258475915507</v>
      </c>
      <c r="E4" s="2">
        <f t="shared" si="2"/>
        <v>756863.13896648784</v>
      </c>
      <c r="F4" s="2">
        <f t="shared" si="3"/>
        <v>1435.366915095894</v>
      </c>
      <c r="G4" s="2">
        <f t="shared" si="4"/>
        <v>399090856.21353799</v>
      </c>
    </row>
    <row r="5" spans="1:7" x14ac:dyDescent="0.3">
      <c r="A5" s="4">
        <v>69.339401245117188</v>
      </c>
      <c r="B5" s="6">
        <v>40988.969429999997</v>
      </c>
      <c r="C5" s="4">
        <f t="shared" si="0"/>
        <v>-50.086866674288899</v>
      </c>
      <c r="D5" s="6">
        <f t="shared" si="1"/>
        <v>-20715.207925915507</v>
      </c>
      <c r="E5" s="2">
        <f t="shared" si="2"/>
        <v>1037559.8575155027</v>
      </c>
      <c r="F5" s="2">
        <f t="shared" si="3"/>
        <v>2508.6942132479921</v>
      </c>
      <c r="G5" s="2">
        <f t="shared" si="4"/>
        <v>429119839.41391265</v>
      </c>
    </row>
    <row r="6" spans="1:7" x14ac:dyDescent="0.3">
      <c r="A6" s="4">
        <v>68.507217407226563</v>
      </c>
      <c r="B6" s="6">
        <v>40988.969429999997</v>
      </c>
      <c r="C6" s="4">
        <f t="shared" si="0"/>
        <v>-50.919050512179524</v>
      </c>
      <c r="D6" s="6">
        <f t="shared" si="1"/>
        <v>-20715.207925915507</v>
      </c>
      <c r="E6" s="2">
        <f t="shared" si="2"/>
        <v>1054798.7187499932</v>
      </c>
      <c r="F6" s="2">
        <f t="shared" si="3"/>
        <v>2592.7497050618899</v>
      </c>
      <c r="G6" s="2">
        <f t="shared" si="4"/>
        <v>429119839.41391265</v>
      </c>
    </row>
    <row r="7" spans="1:7" x14ac:dyDescent="0.3">
      <c r="A7" s="4">
        <v>71.227859497070313</v>
      </c>
      <c r="B7" s="6">
        <v>46781.285109999997</v>
      </c>
      <c r="C7" s="4">
        <f t="shared" si="0"/>
        <v>-48.198408422335774</v>
      </c>
      <c r="D7" s="6">
        <f t="shared" si="1"/>
        <v>-14922.892245915507</v>
      </c>
      <c r="E7" s="2">
        <f t="shared" si="2"/>
        <v>719259.65531114326</v>
      </c>
      <c r="F7" s="2">
        <f t="shared" si="3"/>
        <v>2323.0865744462881</v>
      </c>
      <c r="G7" s="2">
        <f t="shared" si="4"/>
        <v>222692712.98320517</v>
      </c>
    </row>
    <row r="8" spans="1:7" x14ac:dyDescent="0.3">
      <c r="A8" s="4">
        <v>66.473281860351563</v>
      </c>
      <c r="B8" s="6">
        <v>49912.79277</v>
      </c>
      <c r="C8" s="4">
        <f t="shared" si="0"/>
        <v>-52.952986059054524</v>
      </c>
      <c r="D8" s="6">
        <f t="shared" si="1"/>
        <v>-11791.384585915504</v>
      </c>
      <c r="E8" s="2">
        <f t="shared" si="2"/>
        <v>624389.02359493414</v>
      </c>
      <c r="F8" s="2">
        <f t="shared" si="3"/>
        <v>2804.0187325704228</v>
      </c>
      <c r="G8" s="2">
        <f t="shared" si="4"/>
        <v>139036750.45296577</v>
      </c>
    </row>
    <row r="9" spans="1:7" x14ac:dyDescent="0.3">
      <c r="A9" s="4">
        <v>65.466049194335938</v>
      </c>
      <c r="B9" s="6">
        <v>53038.150439999998</v>
      </c>
      <c r="C9" s="4">
        <f t="shared" si="0"/>
        <v>-53.960218725070149</v>
      </c>
      <c r="D9" s="6">
        <f t="shared" si="1"/>
        <v>-8666.0269159155068</v>
      </c>
      <c r="E9" s="2">
        <f t="shared" si="2"/>
        <v>467620.70786014583</v>
      </c>
      <c r="F9" s="2">
        <f t="shared" si="3"/>
        <v>2911.705204857411</v>
      </c>
      <c r="G9" s="2">
        <f t="shared" si="4"/>
        <v>75100022.507372037</v>
      </c>
    </row>
    <row r="10" spans="1:7" x14ac:dyDescent="0.3">
      <c r="A10" s="4">
        <v>80.37738037109375</v>
      </c>
      <c r="B10" s="6">
        <v>50901.282030000002</v>
      </c>
      <c r="C10" s="4">
        <f t="shared" si="0"/>
        <v>-39.048887548312337</v>
      </c>
      <c r="D10" s="6">
        <f t="shared" si="1"/>
        <v>-10802.895325915502</v>
      </c>
      <c r="E10" s="2">
        <f t="shared" si="2"/>
        <v>421841.04477786343</v>
      </c>
      <c r="F10" s="2">
        <f t="shared" si="3"/>
        <v>1524.8156187607422</v>
      </c>
      <c r="G10" s="2">
        <f t="shared" si="4"/>
        <v>116702547.42268701</v>
      </c>
    </row>
    <row r="11" spans="1:7" x14ac:dyDescent="0.3">
      <c r="A11" s="4">
        <v>76.083168029785156</v>
      </c>
      <c r="B11" s="6">
        <v>50715.532169999999</v>
      </c>
      <c r="C11" s="4">
        <f t="shared" si="0"/>
        <v>-43.34309988962093</v>
      </c>
      <c r="D11" s="6">
        <f t="shared" si="1"/>
        <v>-10988.645185915506</v>
      </c>
      <c r="E11" s="2">
        <f t="shared" si="2"/>
        <v>476281.94594473793</v>
      </c>
      <c r="F11" s="2">
        <f t="shared" si="3"/>
        <v>1878.624308041658</v>
      </c>
      <c r="G11" s="2">
        <f t="shared" si="4"/>
        <v>120750323.02194402</v>
      </c>
    </row>
    <row r="12" spans="1:7" x14ac:dyDescent="0.3">
      <c r="A12" s="4">
        <v>70.067466735839844</v>
      </c>
      <c r="B12" s="6">
        <v>50407.232400000001</v>
      </c>
      <c r="C12" s="4">
        <f t="shared" si="0"/>
        <v>-49.358801183566243</v>
      </c>
      <c r="D12" s="6">
        <f t="shared" si="1"/>
        <v>-11296.944955915504</v>
      </c>
      <c r="E12" s="2">
        <f t="shared" si="2"/>
        <v>557603.66006072483</v>
      </c>
      <c r="F12" s="2">
        <f t="shared" si="3"/>
        <v>2436.2912542788204</v>
      </c>
      <c r="G12" s="2">
        <f t="shared" si="4"/>
        <v>127620965.33698474</v>
      </c>
    </row>
    <row r="13" spans="1:7" x14ac:dyDescent="0.3">
      <c r="A13" s="4">
        <v>64.067291259765625</v>
      </c>
      <c r="B13" s="6">
        <v>49467.413099999998</v>
      </c>
      <c r="C13" s="4">
        <f t="shared" si="0"/>
        <v>-55.358976659640462</v>
      </c>
      <c r="D13" s="6">
        <f t="shared" si="1"/>
        <v>-12236.764255915507</v>
      </c>
      <c r="E13" s="2">
        <f t="shared" si="2"/>
        <v>677414.74683274922</v>
      </c>
      <c r="F13" s="2">
        <f t="shared" si="3"/>
        <v>3064.6162968026174</v>
      </c>
      <c r="G13" s="2">
        <f t="shared" si="4"/>
        <v>149738399.45485139</v>
      </c>
    </row>
    <row r="14" spans="1:7" x14ac:dyDescent="0.3">
      <c r="A14" s="4">
        <v>77.418701171875</v>
      </c>
      <c r="B14" s="6">
        <v>49639.122969999997</v>
      </c>
      <c r="C14" s="4">
        <f t="shared" si="0"/>
        <v>-42.007566747531087</v>
      </c>
      <c r="D14" s="6">
        <f t="shared" si="1"/>
        <v>-12065.054385915508</v>
      </c>
      <c r="E14" s="2">
        <f t="shared" si="2"/>
        <v>506823.57742893836</v>
      </c>
      <c r="F14" s="2">
        <f t="shared" si="3"/>
        <v>1764.6356640482795</v>
      </c>
      <c r="G14" s="2">
        <f t="shared" si="4"/>
        <v>145565537.33509904</v>
      </c>
    </row>
    <row r="15" spans="1:7" x14ac:dyDescent="0.3">
      <c r="A15" s="4">
        <v>73.956802368164063</v>
      </c>
      <c r="B15" s="6">
        <v>47141.514840000003</v>
      </c>
      <c r="C15" s="4">
        <f t="shared" si="0"/>
        <v>-45.469465551242024</v>
      </c>
      <c r="D15" s="6">
        <f t="shared" si="1"/>
        <v>-14562.662515915501</v>
      </c>
      <c r="E15" s="2">
        <f t="shared" si="2"/>
        <v>662156.48160178342</v>
      </c>
      <c r="F15" s="2">
        <f t="shared" si="3"/>
        <v>2067.4722975155851</v>
      </c>
      <c r="G15" s="2">
        <f t="shared" si="4"/>
        <v>212071139.55245039</v>
      </c>
    </row>
    <row r="16" spans="1:7" x14ac:dyDescent="0.3">
      <c r="A16" s="4">
        <v>78.618766784667969</v>
      </c>
      <c r="B16" s="6">
        <v>44649.4467</v>
      </c>
      <c r="C16" s="4">
        <f t="shared" si="0"/>
        <v>-40.807501134738118</v>
      </c>
      <c r="D16" s="6">
        <f t="shared" si="1"/>
        <v>-17054.730655915504</v>
      </c>
      <c r="E16" s="2">
        <f t="shared" si="2"/>
        <v>695960.94059392484</v>
      </c>
      <c r="F16" s="2">
        <f t="shared" si="3"/>
        <v>1665.2521488616528</v>
      </c>
      <c r="G16" s="2">
        <f t="shared" si="4"/>
        <v>290863837.7458241</v>
      </c>
    </row>
    <row r="17" spans="1:7" x14ac:dyDescent="0.3">
      <c r="A17" s="4">
        <v>88.166221618652344</v>
      </c>
      <c r="B17" s="6">
        <v>46724.255149999997</v>
      </c>
      <c r="C17" s="4">
        <f t="shared" si="0"/>
        <v>-31.260046300753743</v>
      </c>
      <c r="D17" s="6">
        <f t="shared" si="1"/>
        <v>-14979.922205915507</v>
      </c>
      <c r="E17" s="2">
        <f t="shared" si="2"/>
        <v>468273.06173860788</v>
      </c>
      <c r="F17" s="2">
        <f t="shared" si="3"/>
        <v>977.19049472526774</v>
      </c>
      <c r="G17" s="2">
        <f t="shared" si="4"/>
        <v>224398069.29528052</v>
      </c>
    </row>
    <row r="18" spans="1:7" x14ac:dyDescent="0.3">
      <c r="A18" s="4">
        <v>93.007133483886719</v>
      </c>
      <c r="B18" s="6">
        <v>47889.444280000003</v>
      </c>
      <c r="C18" s="4">
        <f t="shared" si="0"/>
        <v>-26.419134435519368</v>
      </c>
      <c r="D18" s="6">
        <f t="shared" si="1"/>
        <v>-13814.733075915501</v>
      </c>
      <c r="E18" s="2">
        <f t="shared" si="2"/>
        <v>364973.29032342759</v>
      </c>
      <c r="F18" s="2">
        <f t="shared" si="3"/>
        <v>697.97066432204531</v>
      </c>
      <c r="G18" s="2">
        <f t="shared" si="4"/>
        <v>190846849.95879376</v>
      </c>
    </row>
    <row r="19" spans="1:7" x14ac:dyDescent="0.3">
      <c r="A19" s="4">
        <v>74.127120971679688</v>
      </c>
      <c r="B19" s="6">
        <v>47902.914270000001</v>
      </c>
      <c r="C19" s="4">
        <f t="shared" si="0"/>
        <v>-45.299146947726399</v>
      </c>
      <c r="D19" s="6">
        <f t="shared" si="1"/>
        <v>-13801.263085915503</v>
      </c>
      <c r="E19" s="2">
        <f t="shared" si="2"/>
        <v>625185.44459311827</v>
      </c>
      <c r="F19" s="2">
        <f t="shared" si="3"/>
        <v>2052.0127141917101</v>
      </c>
      <c r="G19" s="2">
        <f t="shared" si="4"/>
        <v>190474862.76665393</v>
      </c>
    </row>
    <row r="20" spans="1:7" x14ac:dyDescent="0.3">
      <c r="A20" s="4">
        <v>58.420768737792969</v>
      </c>
      <c r="B20" s="6">
        <v>47791.964350000002</v>
      </c>
      <c r="C20" s="4">
        <f t="shared" si="0"/>
        <v>-61.005499181613118</v>
      </c>
      <c r="D20" s="6">
        <f t="shared" si="1"/>
        <v>-13912.213005915502</v>
      </c>
      <c r="E20" s="2">
        <f t="shared" si="2"/>
        <v>848721.49914680561</v>
      </c>
      <c r="F20" s="2">
        <f t="shared" si="3"/>
        <v>3721.6709303977987</v>
      </c>
      <c r="G20" s="2">
        <f t="shared" si="4"/>
        <v>193549670.72196445</v>
      </c>
    </row>
    <row r="21" spans="1:7" x14ac:dyDescent="0.3">
      <c r="A21" s="4">
        <v>89.486549377441406</v>
      </c>
      <c r="B21" s="6">
        <v>47097.604870000003</v>
      </c>
      <c r="C21" s="4">
        <f t="shared" si="0"/>
        <v>-29.93971854196468</v>
      </c>
      <c r="D21" s="6">
        <f t="shared" si="1"/>
        <v>-14606.572485915502</v>
      </c>
      <c r="E21" s="2">
        <f t="shared" si="2"/>
        <v>437316.66909111547</v>
      </c>
      <c r="F21" s="2">
        <f t="shared" si="3"/>
        <v>896.38674637206373</v>
      </c>
      <c r="G21" s="2">
        <f t="shared" si="4"/>
        <v>213351959.78630376</v>
      </c>
    </row>
    <row r="22" spans="1:7" x14ac:dyDescent="0.3">
      <c r="A22" s="4">
        <v>80.696968078613281</v>
      </c>
      <c r="B22" s="6">
        <v>46589.055249999998</v>
      </c>
      <c r="C22" s="4">
        <f t="shared" si="0"/>
        <v>-38.729299840792805</v>
      </c>
      <c r="D22" s="6">
        <f t="shared" si="1"/>
        <v>-15115.122105915507</v>
      </c>
      <c r="E22" s="2">
        <f t="shared" si="2"/>
        <v>585398.09617019724</v>
      </c>
      <c r="F22" s="2">
        <f t="shared" si="3"/>
        <v>1499.9586661580336</v>
      </c>
      <c r="G22" s="2">
        <f t="shared" si="4"/>
        <v>228466916.27673563</v>
      </c>
    </row>
    <row r="23" spans="1:7" x14ac:dyDescent="0.3">
      <c r="A23" s="4">
        <v>79.02923583984375</v>
      </c>
      <c r="B23" s="6">
        <v>47251.584759999998</v>
      </c>
      <c r="C23" s="4">
        <f t="shared" si="0"/>
        <v>-40.397032079562337</v>
      </c>
      <c r="D23" s="6">
        <f t="shared" si="1"/>
        <v>-14452.592595915507</v>
      </c>
      <c r="E23" s="2">
        <f t="shared" si="2"/>
        <v>583841.84673004388</v>
      </c>
      <c r="F23" s="2">
        <f t="shared" si="3"/>
        <v>1631.9202008371885</v>
      </c>
      <c r="G23" s="2">
        <f t="shared" si="4"/>
        <v>208877432.74351171</v>
      </c>
    </row>
    <row r="24" spans="1:7" x14ac:dyDescent="0.3">
      <c r="A24" s="4">
        <v>86.569145202636719</v>
      </c>
      <c r="B24" s="6">
        <v>48162.914080000002</v>
      </c>
      <c r="C24" s="4">
        <f t="shared" si="0"/>
        <v>-32.857122716769368</v>
      </c>
      <c r="D24" s="6">
        <f t="shared" si="1"/>
        <v>-13541.263275915502</v>
      </c>
      <c r="E24" s="2">
        <f t="shared" si="2"/>
        <v>444926.94919683802</v>
      </c>
      <c r="F24" s="2">
        <f t="shared" si="3"/>
        <v>1079.5905132248417</v>
      </c>
      <c r="G24" s="2">
        <f t="shared" si="4"/>
        <v>183365811.10765785</v>
      </c>
    </row>
    <row r="25" spans="1:7" x14ac:dyDescent="0.3">
      <c r="A25" s="4">
        <v>105.34542083740234</v>
      </c>
      <c r="B25" s="6">
        <v>47900.134270000002</v>
      </c>
      <c r="C25" s="4">
        <f t="shared" si="0"/>
        <v>-14.080847082003743</v>
      </c>
      <c r="D25" s="6">
        <f t="shared" si="1"/>
        <v>-13804.043085915502</v>
      </c>
      <c r="E25" s="2">
        <f t="shared" si="2"/>
        <v>194372.61980616723</v>
      </c>
      <c r="F25" s="2">
        <f t="shared" si="3"/>
        <v>198.27025454677332</v>
      </c>
      <c r="G25" s="2">
        <f t="shared" si="4"/>
        <v>190551605.51781157</v>
      </c>
    </row>
    <row r="26" spans="1:7" x14ac:dyDescent="0.3">
      <c r="A26" s="4">
        <v>138.67498779296875</v>
      </c>
      <c r="B26" s="6">
        <v>47983.414210000003</v>
      </c>
      <c r="C26" s="4">
        <f t="shared" si="0"/>
        <v>19.248719873562663</v>
      </c>
      <c r="D26" s="6">
        <f t="shared" si="1"/>
        <v>-13720.763145915502</v>
      </c>
      <c r="E26" s="2">
        <f t="shared" si="2"/>
        <v>-264107.12624722987</v>
      </c>
      <c r="F26" s="2">
        <f t="shared" si="3"/>
        <v>370.51321677088623</v>
      </c>
      <c r="G26" s="2">
        <f t="shared" si="4"/>
        <v>188259341.30631307</v>
      </c>
    </row>
    <row r="27" spans="1:7" x14ac:dyDescent="0.3">
      <c r="A27" s="4">
        <v>216.15901184082031</v>
      </c>
      <c r="B27" s="6">
        <v>49279.413240000002</v>
      </c>
      <c r="C27" s="4">
        <f t="shared" si="0"/>
        <v>96.732743921414226</v>
      </c>
      <c r="D27" s="6">
        <f t="shared" si="1"/>
        <v>-12424.764115915503</v>
      </c>
      <c r="E27" s="2">
        <f t="shared" si="2"/>
        <v>-1201881.525508831</v>
      </c>
      <c r="F27" s="2">
        <f t="shared" si="3"/>
        <v>9357.2237465659</v>
      </c>
      <c r="G27" s="2">
        <f t="shared" si="4"/>
        <v>154374763.33614156</v>
      </c>
    </row>
    <row r="28" spans="1:7" x14ac:dyDescent="0.3">
      <c r="A28" s="4">
        <v>318.95492553710938</v>
      </c>
      <c r="B28" s="6">
        <v>51672.351459999998</v>
      </c>
      <c r="C28" s="4">
        <f t="shared" si="0"/>
        <v>199.52865761770329</v>
      </c>
      <c r="D28" s="6">
        <f t="shared" si="1"/>
        <v>-10031.825895915506</v>
      </c>
      <c r="E28" s="2">
        <f t="shared" si="2"/>
        <v>-2001636.7544665346</v>
      </c>
      <c r="F28" s="2">
        <f t="shared" si="3"/>
        <v>39811.685210722666</v>
      </c>
      <c r="G28" s="2">
        <f t="shared" si="4"/>
        <v>100637530.80596095</v>
      </c>
    </row>
    <row r="29" spans="1:7" x14ac:dyDescent="0.3">
      <c r="A29" s="4">
        <v>191.14309692382813</v>
      </c>
      <c r="B29" s="6">
        <v>52057.861169999996</v>
      </c>
      <c r="C29" s="4">
        <f t="shared" si="0"/>
        <v>71.716829004422038</v>
      </c>
      <c r="D29" s="6">
        <f t="shared" si="1"/>
        <v>-9646.316185915508</v>
      </c>
      <c r="E29" s="2">
        <f t="shared" si="2"/>
        <v>-691803.20842789102</v>
      </c>
      <c r="F29" s="2">
        <f t="shared" si="3"/>
        <v>5143.3035624495105</v>
      </c>
      <c r="G29" s="2">
        <f t="shared" si="4"/>
        <v>93051415.958655506</v>
      </c>
    </row>
    <row r="30" spans="1:7" x14ac:dyDescent="0.3">
      <c r="A30" s="4">
        <v>142.25848388671875</v>
      </c>
      <c r="B30" s="6">
        <v>50887.232040000003</v>
      </c>
      <c r="C30" s="4">
        <f t="shared" si="0"/>
        <v>22.832215967312663</v>
      </c>
      <c r="D30" s="6">
        <f t="shared" si="1"/>
        <v>-10816.945315915502</v>
      </c>
      <c r="E30" s="2">
        <f t="shared" si="2"/>
        <v>-246974.83155959385</v>
      </c>
      <c r="F30" s="2">
        <f t="shared" si="3"/>
        <v>521.31008597800735</v>
      </c>
      <c r="G30" s="2">
        <f t="shared" si="4"/>
        <v>117006305.96750632</v>
      </c>
    </row>
    <row r="31" spans="1:7" x14ac:dyDescent="0.3">
      <c r="A31" s="4">
        <v>130.70732116699219</v>
      </c>
      <c r="B31" s="6">
        <v>50808.822099999998</v>
      </c>
      <c r="C31" s="4">
        <f t="shared" si="0"/>
        <v>11.281053247586101</v>
      </c>
      <c r="D31" s="6">
        <f t="shared" si="1"/>
        <v>-10895.355255915507</v>
      </c>
      <c r="E31" s="2">
        <f t="shared" si="2"/>
        <v>-122911.08279334992</v>
      </c>
      <c r="F31" s="2">
        <f t="shared" si="3"/>
        <v>127.26216237487291</v>
      </c>
      <c r="G31" s="2">
        <f t="shared" si="4"/>
        <v>118708766.15260565</v>
      </c>
    </row>
    <row r="32" spans="1:7" x14ac:dyDescent="0.3">
      <c r="A32" s="4">
        <v>117.17676544189453</v>
      </c>
      <c r="B32" s="6">
        <v>50752.962140000003</v>
      </c>
      <c r="C32" s="4">
        <f t="shared" si="0"/>
        <v>-2.2495024775115553</v>
      </c>
      <c r="D32" s="6">
        <f t="shared" si="1"/>
        <v>-10951.215215915501</v>
      </c>
      <c r="E32" s="2">
        <f t="shared" si="2"/>
        <v>24634.785759964161</v>
      </c>
      <c r="F32" s="2">
        <f t="shared" si="3"/>
        <v>5.0602613963306258</v>
      </c>
      <c r="G32" s="2">
        <f t="shared" si="4"/>
        <v>119929114.7052992</v>
      </c>
    </row>
    <row r="33" spans="1:7" x14ac:dyDescent="0.3">
      <c r="A33" s="4">
        <v>132.86322021484375</v>
      </c>
      <c r="B33" s="6">
        <v>51635.051489999998</v>
      </c>
      <c r="C33" s="4">
        <f t="shared" si="0"/>
        <v>13.436952295437663</v>
      </c>
      <c r="D33" s="6">
        <f t="shared" si="1"/>
        <v>-10069.125865915506</v>
      </c>
      <c r="E33" s="2">
        <f t="shared" si="2"/>
        <v>-135298.36391706413</v>
      </c>
      <c r="F33" s="2">
        <f t="shared" si="3"/>
        <v>180.55168698986751</v>
      </c>
      <c r="G33" s="2">
        <f t="shared" si="4"/>
        <v>101387295.7036487</v>
      </c>
    </row>
    <row r="34" spans="1:7" x14ac:dyDescent="0.3">
      <c r="A34" s="4">
        <v>131.98587036132813</v>
      </c>
      <c r="B34" s="6">
        <v>49957.012739999998</v>
      </c>
      <c r="C34" s="4">
        <f t="shared" ref="C34:C65" si="5">A34-$A$77</f>
        <v>12.559602441922038</v>
      </c>
      <c r="D34" s="6">
        <f t="shared" ref="D34:D65" si="6">B34-$B$77</f>
        <v>-11747.164615915506</v>
      </c>
      <c r="E34" s="2">
        <f t="shared" si="2"/>
        <v>-147539.71739571256</v>
      </c>
      <c r="F34" s="2">
        <f t="shared" si="3"/>
        <v>157.74361349913403</v>
      </c>
      <c r="G34" s="2">
        <f t="shared" si="4"/>
        <v>137995876.5134173</v>
      </c>
    </row>
    <row r="35" spans="1:7" x14ac:dyDescent="0.3">
      <c r="A35" s="4">
        <v>143.16241455078125</v>
      </c>
      <c r="B35" s="6">
        <v>50372.482429999996</v>
      </c>
      <c r="C35" s="4">
        <f t="shared" si="5"/>
        <v>23.736146631375163</v>
      </c>
      <c r="D35" s="6">
        <f t="shared" si="6"/>
        <v>-11331.694925915508</v>
      </c>
      <c r="E35" s="2">
        <f t="shared" si="2"/>
        <v>-268970.77234354045</v>
      </c>
      <c r="F35" s="2">
        <f t="shared" si="3"/>
        <v>563.40465690614246</v>
      </c>
      <c r="G35" s="2">
        <f t="shared" si="4"/>
        <v>128407309.89401928</v>
      </c>
    </row>
    <row r="36" spans="1:7" x14ac:dyDescent="0.3">
      <c r="A36" s="4">
        <v>116.71628570556641</v>
      </c>
      <c r="B36" s="6">
        <v>51843.821329999999</v>
      </c>
      <c r="C36" s="4">
        <f t="shared" si="5"/>
        <v>-2.7099822138396803</v>
      </c>
      <c r="D36" s="6">
        <f t="shared" si="6"/>
        <v>-9860.3560259155056</v>
      </c>
      <c r="E36" s="2">
        <f t="shared" si="2"/>
        <v>26721.389452357933</v>
      </c>
      <c r="F36" s="2">
        <f t="shared" si="3"/>
        <v>7.3440035993274151</v>
      </c>
      <c r="G36" s="2">
        <f t="shared" si="4"/>
        <v>97226620.957808226</v>
      </c>
    </row>
    <row r="37" spans="1:7" x14ac:dyDescent="0.3">
      <c r="A37" s="4">
        <v>111.19593811035156</v>
      </c>
      <c r="B37" s="6">
        <v>53928.689769999997</v>
      </c>
      <c r="C37" s="4">
        <f t="shared" si="5"/>
        <v>-8.230329809054524</v>
      </c>
      <c r="D37" s="6">
        <f t="shared" si="6"/>
        <v>-7775.4875859155072</v>
      </c>
      <c r="E37" s="2">
        <f t="shared" si="2"/>
        <v>63994.827258293801</v>
      </c>
      <c r="F37" s="2">
        <f t="shared" si="3"/>
        <v>67.738328765811474</v>
      </c>
      <c r="G37" s="2">
        <f t="shared" si="4"/>
        <v>60458207.198726162</v>
      </c>
    </row>
    <row r="38" spans="1:7" x14ac:dyDescent="0.3">
      <c r="A38" s="4">
        <v>104.26704406738281</v>
      </c>
      <c r="B38" s="6">
        <v>56221.668060000004</v>
      </c>
      <c r="C38" s="4">
        <f t="shared" si="5"/>
        <v>-15.159223852023274</v>
      </c>
      <c r="D38" s="6">
        <f t="shared" si="6"/>
        <v>-5482.5092959155008</v>
      </c>
      <c r="E38" s="2">
        <f t="shared" si="2"/>
        <v>83110.585687581581</v>
      </c>
      <c r="F38" s="2">
        <f t="shared" si="3"/>
        <v>229.80206779575136</v>
      </c>
      <c r="G38" s="2">
        <f t="shared" si="4"/>
        <v>30057908.179799881</v>
      </c>
    </row>
    <row r="39" spans="1:7" x14ac:dyDescent="0.3">
      <c r="A39" s="4">
        <v>120.99437713623047</v>
      </c>
      <c r="B39" s="6">
        <v>56655.057739999997</v>
      </c>
      <c r="C39" s="4">
        <f t="shared" si="5"/>
        <v>1.5681092168243822</v>
      </c>
      <c r="D39" s="6">
        <f t="shared" si="6"/>
        <v>-5049.1196159155079</v>
      </c>
      <c r="E39" s="2">
        <f t="shared" si="2"/>
        <v>-7917.5710065658923</v>
      </c>
      <c r="F39" s="2">
        <f t="shared" si="3"/>
        <v>2.4589665158895775</v>
      </c>
      <c r="G39" s="2">
        <f t="shared" si="4"/>
        <v>25493608.895822767</v>
      </c>
    </row>
    <row r="40" spans="1:7" x14ac:dyDescent="0.3">
      <c r="A40" s="4">
        <v>105.37997436523438</v>
      </c>
      <c r="B40" s="6">
        <v>57577.527049999997</v>
      </c>
      <c r="C40" s="4">
        <f t="shared" si="5"/>
        <v>-14.046293554171712</v>
      </c>
      <c r="D40" s="6">
        <f t="shared" si="6"/>
        <v>-4126.6503059155075</v>
      </c>
      <c r="E40" s="2">
        <f t="shared" si="2"/>
        <v>57964.141592301712</v>
      </c>
      <c r="F40" s="2">
        <f t="shared" si="3"/>
        <v>197.29836260996578</v>
      </c>
      <c r="G40" s="2">
        <f t="shared" si="4"/>
        <v>17029242.747312553</v>
      </c>
    </row>
    <row r="41" spans="1:7" x14ac:dyDescent="0.3">
      <c r="A41" s="4">
        <v>106.80965423583984</v>
      </c>
      <c r="B41" s="6">
        <v>60128.425150000003</v>
      </c>
      <c r="C41" s="4">
        <f t="shared" si="5"/>
        <v>-12.616613683566243</v>
      </c>
      <c r="D41" s="6">
        <f t="shared" si="6"/>
        <v>-1575.7522059155017</v>
      </c>
      <c r="E41" s="2">
        <f t="shared" si="2"/>
        <v>19880.656843063211</v>
      </c>
      <c r="F41" s="2">
        <f t="shared" si="3"/>
        <v>159.17894084035095</v>
      </c>
      <c r="G41" s="2">
        <f t="shared" si="4"/>
        <v>2482995.0144475698</v>
      </c>
    </row>
    <row r="42" spans="1:7" x14ac:dyDescent="0.3">
      <c r="A42" s="4">
        <v>108.46768188476563</v>
      </c>
      <c r="B42" s="6">
        <v>60551.864829999999</v>
      </c>
      <c r="C42" s="4">
        <f t="shared" si="5"/>
        <v>-10.958586034640462</v>
      </c>
      <c r="D42" s="6">
        <f t="shared" si="6"/>
        <v>-1152.3125259155058</v>
      </c>
      <c r="E42" s="2">
        <f t="shared" si="2"/>
        <v>12627.715954038937</v>
      </c>
      <c r="F42" s="2">
        <f t="shared" si="3"/>
        <v>120.09060787861695</v>
      </c>
      <c r="G42" s="2">
        <f t="shared" si="4"/>
        <v>1327824.1573817732</v>
      </c>
    </row>
    <row r="43" spans="1:7" x14ac:dyDescent="0.3">
      <c r="A43" s="4">
        <v>110.52894592285156</v>
      </c>
      <c r="B43" s="6">
        <v>59023.005969999998</v>
      </c>
      <c r="C43" s="4">
        <f t="shared" si="5"/>
        <v>-8.897321996554524</v>
      </c>
      <c r="D43" s="6">
        <f t="shared" si="6"/>
        <v>-2681.1713859155061</v>
      </c>
      <c r="E43" s="2">
        <f t="shared" si="2"/>
        <v>23855.245148438611</v>
      </c>
      <c r="F43" s="2">
        <f t="shared" si="3"/>
        <v>79.162338710372978</v>
      </c>
      <c r="G43" s="2">
        <f t="shared" si="4"/>
        <v>7188680.0006520757</v>
      </c>
    </row>
    <row r="44" spans="1:7" x14ac:dyDescent="0.3">
      <c r="A44" s="4">
        <v>107.44878387451172</v>
      </c>
      <c r="B44" s="6">
        <v>58937.056040000003</v>
      </c>
      <c r="C44" s="4">
        <f t="shared" si="5"/>
        <v>-11.977484044894368</v>
      </c>
      <c r="D44" s="6">
        <f t="shared" si="6"/>
        <v>-2767.1213159155013</v>
      </c>
      <c r="E44" s="2">
        <f t="shared" si="2"/>
        <v>33143.151411665021</v>
      </c>
      <c r="F44" s="2">
        <f t="shared" si="3"/>
        <v>143.46012404569913</v>
      </c>
      <c r="G44" s="2">
        <f t="shared" si="4"/>
        <v>7656960.3769939356</v>
      </c>
    </row>
    <row r="45" spans="1:7" x14ac:dyDescent="0.3">
      <c r="A45" s="4">
        <v>101.14118194580078</v>
      </c>
      <c r="B45" s="6">
        <v>58722.136200000001</v>
      </c>
      <c r="C45" s="4">
        <f t="shared" si="5"/>
        <v>-18.285085973605305</v>
      </c>
      <c r="D45" s="6">
        <f t="shared" si="6"/>
        <v>-2982.0411559155036</v>
      </c>
      <c r="E45" s="2">
        <f t="shared" si="2"/>
        <v>54526.878912744323</v>
      </c>
      <c r="F45" s="2">
        <f t="shared" si="3"/>
        <v>334.3443690621375</v>
      </c>
      <c r="G45" s="2">
        <f t="shared" si="4"/>
        <v>8892569.4555738736</v>
      </c>
    </row>
    <row r="46" spans="1:7" x14ac:dyDescent="0.3">
      <c r="A46" s="4">
        <v>98.634811401367188</v>
      </c>
      <c r="B46" s="6">
        <v>58785.386149999998</v>
      </c>
      <c r="C46" s="4">
        <f t="shared" si="5"/>
        <v>-20.791456518038899</v>
      </c>
      <c r="D46" s="6">
        <f t="shared" si="6"/>
        <v>-2918.791205915506</v>
      </c>
      <c r="E46" s="2">
        <f t="shared" si="2"/>
        <v>60685.920443026567</v>
      </c>
      <c r="F46" s="2">
        <f t="shared" si="3"/>
        <v>432.28466414150222</v>
      </c>
      <c r="G46" s="2">
        <f t="shared" si="4"/>
        <v>8519342.1037296932</v>
      </c>
    </row>
    <row r="47" spans="1:7" x14ac:dyDescent="0.3">
      <c r="A47" s="4">
        <v>197.88700866699219</v>
      </c>
      <c r="B47" s="6">
        <v>58852.666100000002</v>
      </c>
      <c r="C47" s="4">
        <f t="shared" si="5"/>
        <v>78.460740747586101</v>
      </c>
      <c r="D47" s="6">
        <f t="shared" si="6"/>
        <v>-2851.5112559155023</v>
      </c>
      <c r="E47" s="2">
        <f t="shared" si="2"/>
        <v>-223731.68538920986</v>
      </c>
      <c r="F47" s="2">
        <f t="shared" si="3"/>
        <v>6156.0878386599179</v>
      </c>
      <c r="G47" s="2">
        <f t="shared" si="4"/>
        <v>8131116.4426128054</v>
      </c>
    </row>
    <row r="48" spans="1:7" x14ac:dyDescent="0.3">
      <c r="A48" s="4">
        <v>156.69613647460938</v>
      </c>
      <c r="B48" s="6">
        <v>60769.274669999999</v>
      </c>
      <c r="C48" s="4">
        <f t="shared" si="5"/>
        <v>37.269868555203288</v>
      </c>
      <c r="D48" s="6">
        <f t="shared" si="6"/>
        <v>-934.90268591550557</v>
      </c>
      <c r="E48" s="2">
        <f t="shared" si="2"/>
        <v>-34843.700215977398</v>
      </c>
      <c r="F48" s="2">
        <f t="shared" si="3"/>
        <v>1389.0431021221309</v>
      </c>
      <c r="G48" s="2">
        <f t="shared" si="4"/>
        <v>874043.03213202651</v>
      </c>
    </row>
    <row r="49" spans="1:7" x14ac:dyDescent="0.3">
      <c r="A49" s="4">
        <v>142.27946472167969</v>
      </c>
      <c r="B49" s="6">
        <v>62218.703589999997</v>
      </c>
      <c r="C49" s="4">
        <f t="shared" si="5"/>
        <v>22.853196802273601</v>
      </c>
      <c r="D49" s="6">
        <f t="shared" si="6"/>
        <v>514.5262340844929</v>
      </c>
      <c r="E49" s="2">
        <f t="shared" si="2"/>
        <v>11758.569287465611</v>
      </c>
      <c r="F49" s="2">
        <f t="shared" si="3"/>
        <v>522.26860408344839</v>
      </c>
      <c r="G49" s="2">
        <f t="shared" si="4"/>
        <v>264737.24556117039</v>
      </c>
    </row>
    <row r="50" spans="1:7" x14ac:dyDescent="0.3">
      <c r="A50" s="4">
        <v>160.3736572265625</v>
      </c>
      <c r="B50" s="6">
        <v>62336.273500000003</v>
      </c>
      <c r="C50" s="4">
        <f t="shared" si="5"/>
        <v>40.947389307156413</v>
      </c>
      <c r="D50" s="6">
        <f t="shared" si="6"/>
        <v>632.09614408449852</v>
      </c>
      <c r="E50" s="2">
        <f t="shared" si="2"/>
        <v>25882.686891380396</v>
      </c>
      <c r="F50" s="2">
        <f t="shared" si="3"/>
        <v>1676.6886910718274</v>
      </c>
      <c r="G50" s="2">
        <f t="shared" si="4"/>
        <v>399545.53536649112</v>
      </c>
    </row>
    <row r="51" spans="1:7" x14ac:dyDescent="0.3">
      <c r="A51" s="4">
        <v>146.59817504882813</v>
      </c>
      <c r="B51" s="6">
        <v>62030.713730000003</v>
      </c>
      <c r="C51" s="4">
        <f t="shared" si="5"/>
        <v>27.171907129422038</v>
      </c>
      <c r="D51" s="6">
        <f t="shared" si="6"/>
        <v>326.53637408449868</v>
      </c>
      <c r="E51" s="2">
        <f t="shared" si="2"/>
        <v>8872.6160310022115</v>
      </c>
      <c r="F51" s="2">
        <f t="shared" si="3"/>
        <v>738.31253704993617</v>
      </c>
      <c r="G51" s="2">
        <f t="shared" si="4"/>
        <v>106626.00360025166</v>
      </c>
    </row>
    <row r="52" spans="1:7" x14ac:dyDescent="0.3">
      <c r="A52" s="4">
        <v>133.21316528320313</v>
      </c>
      <c r="B52" s="6">
        <v>65305.701289999997</v>
      </c>
      <c r="C52" s="4">
        <f t="shared" si="5"/>
        <v>13.786897363797038</v>
      </c>
      <c r="D52" s="6">
        <f t="shared" si="6"/>
        <v>3601.5239340844928</v>
      </c>
      <c r="E52" s="2">
        <f t="shared" si="2"/>
        <v>49653.84083248143</v>
      </c>
      <c r="F52" s="2">
        <f t="shared" si="3"/>
        <v>190.07853891987372</v>
      </c>
      <c r="G52" s="2">
        <f t="shared" si="4"/>
        <v>12970974.647783441</v>
      </c>
    </row>
    <row r="53" spans="1:7" x14ac:dyDescent="0.3">
      <c r="A53" s="4">
        <v>163.94734191894531</v>
      </c>
      <c r="B53" s="6">
        <v>71481.626680000001</v>
      </c>
      <c r="C53" s="4">
        <f t="shared" si="5"/>
        <v>44.521073999539226</v>
      </c>
      <c r="D53" s="6">
        <f t="shared" si="6"/>
        <v>9777.4493240844968</v>
      </c>
      <c r="E53" s="2">
        <f t="shared" si="2"/>
        <v>435302.54488431069</v>
      </c>
      <c r="F53" s="2">
        <f t="shared" si="3"/>
        <v>1982.1260300724477</v>
      </c>
      <c r="G53" s="2">
        <f t="shared" si="4"/>
        <v>95598515.285040379</v>
      </c>
    </row>
    <row r="54" spans="1:7" x14ac:dyDescent="0.3">
      <c r="A54" s="4">
        <v>130.52186584472656</v>
      </c>
      <c r="B54" s="6">
        <v>72180.336160000006</v>
      </c>
      <c r="C54" s="4">
        <f t="shared" si="5"/>
        <v>11.095597925320476</v>
      </c>
      <c r="D54" s="6">
        <f t="shared" si="6"/>
        <v>10476.158804084502</v>
      </c>
      <c r="E54" s="2">
        <f t="shared" si="2"/>
        <v>116239.24589192784</v>
      </c>
      <c r="F54" s="2">
        <f t="shared" si="3"/>
        <v>123.11229332037605</v>
      </c>
      <c r="G54" s="2">
        <f t="shared" si="4"/>
        <v>109749903.28839722</v>
      </c>
    </row>
    <row r="55" spans="1:7" x14ac:dyDescent="0.3">
      <c r="A55" s="4">
        <v>113.09279632568359</v>
      </c>
      <c r="B55" s="6">
        <v>71545.746629999994</v>
      </c>
      <c r="C55" s="4">
        <f t="shared" si="5"/>
        <v>-6.3334715937224928</v>
      </c>
      <c r="D55" s="6">
        <f t="shared" si="6"/>
        <v>9841.5692740844897</v>
      </c>
      <c r="E55" s="2">
        <f t="shared" si="2"/>
        <v>-62331.299435066212</v>
      </c>
      <c r="F55" s="2">
        <f t="shared" si="3"/>
        <v>40.112862428489734</v>
      </c>
      <c r="G55" s="2">
        <f t="shared" si="4"/>
        <v>96856485.776603907</v>
      </c>
    </row>
    <row r="56" spans="1:7" x14ac:dyDescent="0.3">
      <c r="A56" s="4">
        <v>92.394874572753906</v>
      </c>
      <c r="B56" s="6">
        <v>71379.59676</v>
      </c>
      <c r="C56" s="4">
        <f t="shared" si="5"/>
        <v>-27.03139334665218</v>
      </c>
      <c r="D56" s="6">
        <f t="shared" si="6"/>
        <v>9675.4194040844959</v>
      </c>
      <c r="E56" s="2">
        <f t="shared" si="2"/>
        <v>-261540.06770563906</v>
      </c>
      <c r="F56" s="2">
        <f t="shared" si="3"/>
        <v>730.69622626143178</v>
      </c>
      <c r="G56" s="2">
        <f t="shared" si="4"/>
        <v>93613740.644934788</v>
      </c>
    </row>
    <row r="57" spans="1:7" x14ac:dyDescent="0.3">
      <c r="A57" s="4">
        <v>140.97506713867188</v>
      </c>
      <c r="B57" s="6">
        <v>70380.707500000004</v>
      </c>
      <c r="C57" s="4">
        <f t="shared" si="5"/>
        <v>21.548799219265788</v>
      </c>
      <c r="D57" s="6">
        <f t="shared" si="6"/>
        <v>8676.5301440844996</v>
      </c>
      <c r="E57" s="2">
        <f t="shared" si="2"/>
        <v>186968.80599478414</v>
      </c>
      <c r="F57" s="2">
        <f t="shared" si="3"/>
        <v>464.35074779222987</v>
      </c>
      <c r="G57" s="2">
        <f t="shared" si="4"/>
        <v>75282175.341206983</v>
      </c>
    </row>
    <row r="58" spans="1:7" x14ac:dyDescent="0.3">
      <c r="A58" s="4">
        <v>130.35877990722656</v>
      </c>
      <c r="B58" s="6">
        <v>72882.655639999997</v>
      </c>
      <c r="C58" s="4">
        <f t="shared" si="5"/>
        <v>10.932511987820476</v>
      </c>
      <c r="D58" s="6">
        <f t="shared" si="6"/>
        <v>11178.478284084493</v>
      </c>
      <c r="E58" s="2">
        <f t="shared" si="2"/>
        <v>122208.84784634458</v>
      </c>
      <c r="F58" s="2">
        <f t="shared" si="3"/>
        <v>119.51981836383841</v>
      </c>
      <c r="G58" s="2">
        <f t="shared" si="4"/>
        <v>124958376.74774858</v>
      </c>
    </row>
    <row r="59" spans="1:7" x14ac:dyDescent="0.3">
      <c r="A59" s="4">
        <v>130.689208984375</v>
      </c>
      <c r="B59" s="6">
        <v>76706.532779999994</v>
      </c>
      <c r="C59" s="4">
        <f t="shared" si="5"/>
        <v>11.262941064968913</v>
      </c>
      <c r="D59" s="6">
        <f t="shared" si="6"/>
        <v>15002.35542408449</v>
      </c>
      <c r="E59" s="2">
        <f t="shared" si="2"/>
        <v>168970.64497718032</v>
      </c>
      <c r="F59" s="2">
        <f t="shared" si="3"/>
        <v>126.85384143296308</v>
      </c>
      <c r="G59" s="2">
        <f t="shared" si="4"/>
        <v>225070668.27055731</v>
      </c>
    </row>
    <row r="60" spans="1:7" x14ac:dyDescent="0.3">
      <c r="A60" s="4">
        <v>128.90164184570313</v>
      </c>
      <c r="B60" s="6">
        <v>76268.423110000003</v>
      </c>
      <c r="C60" s="4">
        <f t="shared" si="5"/>
        <v>9.4753739262970385</v>
      </c>
      <c r="D60" s="6">
        <f t="shared" si="6"/>
        <v>14564.245754084499</v>
      </c>
      <c r="E60" s="2">
        <f t="shared" si="2"/>
        <v>138001.67447443461</v>
      </c>
      <c r="F60" s="2">
        <f t="shared" si="3"/>
        <v>89.78271104314976</v>
      </c>
      <c r="G60" s="2">
        <f t="shared" si="4"/>
        <v>212117254.38536835</v>
      </c>
    </row>
    <row r="61" spans="1:7" x14ac:dyDescent="0.3">
      <c r="A61" s="4">
        <v>142.36643981933594</v>
      </c>
      <c r="B61" s="6">
        <v>76219.373149999999</v>
      </c>
      <c r="C61" s="4">
        <f t="shared" si="5"/>
        <v>22.940171899929851</v>
      </c>
      <c r="D61" s="6">
        <f t="shared" si="6"/>
        <v>14515.195794084495</v>
      </c>
      <c r="E61" s="2">
        <f t="shared" si="2"/>
        <v>332981.08667743707</v>
      </c>
      <c r="F61" s="2">
        <f t="shared" si="3"/>
        <v>526.25148679833114</v>
      </c>
      <c r="G61" s="2">
        <f t="shared" si="4"/>
        <v>210690908.9406082</v>
      </c>
    </row>
    <row r="62" spans="1:7" x14ac:dyDescent="0.3">
      <c r="A62" s="4">
        <v>112.33326721191406</v>
      </c>
      <c r="B62" s="6">
        <v>78634.771349999995</v>
      </c>
      <c r="C62" s="4">
        <f t="shared" si="5"/>
        <v>-7.093000707492024</v>
      </c>
      <c r="D62" s="6">
        <f t="shared" si="6"/>
        <v>16930.593994084491</v>
      </c>
      <c r="E62" s="2">
        <f t="shared" si="2"/>
        <v>-120088.71517830151</v>
      </c>
      <c r="F62" s="2">
        <f t="shared" si="3"/>
        <v>50.310659036482356</v>
      </c>
      <c r="G62" s="2">
        <f t="shared" si="4"/>
        <v>286645012.99252981</v>
      </c>
    </row>
    <row r="63" spans="1:7" x14ac:dyDescent="0.3">
      <c r="A63" s="4">
        <v>136.42637634277344</v>
      </c>
      <c r="B63" s="6">
        <v>85081.936539999995</v>
      </c>
      <c r="C63" s="4">
        <f t="shared" si="5"/>
        <v>17.000108423367351</v>
      </c>
      <c r="D63" s="6">
        <f t="shared" si="6"/>
        <v>23377.759184084491</v>
      </c>
      <c r="E63" s="2">
        <f t="shared" si="2"/>
        <v>397424.4408248082</v>
      </c>
      <c r="F63" s="2">
        <f t="shared" si="3"/>
        <v>289.00368640624555</v>
      </c>
      <c r="G63" s="2">
        <f t="shared" si="4"/>
        <v>546519624.46904671</v>
      </c>
    </row>
    <row r="64" spans="1:7" x14ac:dyDescent="0.3">
      <c r="A64" s="4">
        <v>175.44340515136719</v>
      </c>
      <c r="B64" s="6">
        <v>86940.885150000002</v>
      </c>
      <c r="C64" s="4">
        <f t="shared" si="5"/>
        <v>56.017137231961101</v>
      </c>
      <c r="D64" s="6">
        <f t="shared" si="6"/>
        <v>25236.707794084497</v>
      </c>
      <c r="E64" s="2">
        <f t="shared" si="2"/>
        <v>1413688.1237841337</v>
      </c>
      <c r="F64" s="2">
        <f t="shared" si="3"/>
        <v>3137.9196636643628</v>
      </c>
      <c r="G64" s="2">
        <f t="shared" si="4"/>
        <v>636891420.28400517</v>
      </c>
    </row>
    <row r="65" spans="1:7" x14ac:dyDescent="0.3">
      <c r="A65" s="4">
        <v>139.71894836425781</v>
      </c>
      <c r="B65" s="6">
        <v>92838.260750000001</v>
      </c>
      <c r="C65" s="4">
        <f t="shared" si="5"/>
        <v>20.292680444851726</v>
      </c>
      <c r="D65" s="6">
        <f t="shared" si="6"/>
        <v>31134.083394084497</v>
      </c>
      <c r="E65" s="2">
        <f t="shared" si="2"/>
        <v>631794.00525952131</v>
      </c>
      <c r="F65" s="2">
        <f t="shared" si="3"/>
        <v>411.79287963686767</v>
      </c>
      <c r="G65" s="2">
        <f t="shared" si="4"/>
        <v>969331148.78980803</v>
      </c>
    </row>
    <row r="66" spans="1:7" x14ac:dyDescent="0.3">
      <c r="A66" s="4">
        <v>165.81121826171875</v>
      </c>
      <c r="B66" s="6">
        <v>94645.979399999997</v>
      </c>
      <c r="C66" s="4">
        <f t="shared" ref="C66:C72" si="7">A66-$A$77</f>
        <v>46.384950342312663</v>
      </c>
      <c r="D66" s="6">
        <f t="shared" ref="D66:D72" si="8">B66-$B$77</f>
        <v>32941.802044084492</v>
      </c>
      <c r="E66" s="2">
        <f t="shared" si="2"/>
        <v>1528003.8520011529</v>
      </c>
      <c r="F66" s="2">
        <f t="shared" si="3"/>
        <v>2151.5636182588119</v>
      </c>
      <c r="G66" s="2">
        <f t="shared" si="4"/>
        <v>1085162321.9116492</v>
      </c>
    </row>
    <row r="67" spans="1:7" x14ac:dyDescent="0.3">
      <c r="A67" s="4">
        <v>222.19857788085938</v>
      </c>
      <c r="B67" s="6">
        <v>97154.497529999993</v>
      </c>
      <c r="C67" s="4">
        <f t="shared" si="7"/>
        <v>102.77230996145329</v>
      </c>
      <c r="D67" s="6">
        <f t="shared" si="8"/>
        <v>35450.320174084489</v>
      </c>
      <c r="E67" s="2">
        <f t="shared" ref="E67:E72" si="9">C67*D67</f>
        <v>3643311.2931637717</v>
      </c>
      <c r="F67" s="2">
        <f t="shared" ref="F67:F72" si="10">C67*C67</f>
        <v>10562.147694813031</v>
      </c>
      <c r="G67" s="2">
        <f t="shared" ref="G67:G72" si="11">D67*D67</f>
        <v>1256725200.4451017</v>
      </c>
    </row>
    <row r="68" spans="1:7" x14ac:dyDescent="0.3">
      <c r="A68" s="4">
        <v>134.79460144042969</v>
      </c>
      <c r="B68" s="6">
        <v>97560.407229999997</v>
      </c>
      <c r="C68" s="4">
        <f t="shared" si="7"/>
        <v>15.368333521023601</v>
      </c>
      <c r="D68" s="6">
        <f t="shared" si="8"/>
        <v>35856.229874084493</v>
      </c>
      <c r="E68" s="2">
        <f t="shared" si="9"/>
        <v>551050.49951142061</v>
      </c>
      <c r="F68" s="2">
        <f t="shared" si="10"/>
        <v>236.18567521341768</v>
      </c>
      <c r="G68" s="2">
        <f t="shared" si="11"/>
        <v>1285669220.7831893</v>
      </c>
    </row>
    <row r="69" spans="1:7" x14ac:dyDescent="0.3">
      <c r="A69" s="4">
        <v>136.74961853027344</v>
      </c>
      <c r="B69" s="6">
        <v>99704.675629999998</v>
      </c>
      <c r="C69" s="4">
        <f t="shared" si="7"/>
        <v>17.323350610867351</v>
      </c>
      <c r="D69" s="6">
        <f t="shared" si="8"/>
        <v>38000.498274084493</v>
      </c>
      <c r="E69" s="2">
        <f t="shared" si="9"/>
        <v>658295.95498962537</v>
      </c>
      <c r="F69" s="2">
        <f t="shared" si="10"/>
        <v>300.0984763870382</v>
      </c>
      <c r="G69" s="2">
        <f t="shared" si="11"/>
        <v>1444037869.0786986</v>
      </c>
    </row>
    <row r="70" spans="1:7" x14ac:dyDescent="0.3">
      <c r="A70" s="4">
        <v>124.10614776611328</v>
      </c>
      <c r="B70" s="6">
        <v>109576.0583</v>
      </c>
      <c r="C70" s="4">
        <f t="shared" si="7"/>
        <v>4.6798798467071947</v>
      </c>
      <c r="D70" s="6">
        <f t="shared" si="8"/>
        <v>47871.8809440845</v>
      </c>
      <c r="E70" s="2">
        <f t="shared" si="9"/>
        <v>224034.65085418723</v>
      </c>
      <c r="F70" s="2">
        <f t="shared" si="10"/>
        <v>21.901275379616155</v>
      </c>
      <c r="G70" s="2">
        <f t="shared" si="11"/>
        <v>2291716985.1246009</v>
      </c>
    </row>
    <row r="71" spans="1:7" x14ac:dyDescent="0.3">
      <c r="A71" s="4">
        <v>154.43557739257813</v>
      </c>
      <c r="B71" s="6">
        <v>122815.22840000001</v>
      </c>
      <c r="C71" s="4">
        <f t="shared" si="7"/>
        <v>35.009309473172038</v>
      </c>
      <c r="D71" s="6">
        <f t="shared" si="8"/>
        <v>61111.051044084503</v>
      </c>
      <c r="E71" s="2">
        <f t="shared" si="9"/>
        <v>2139455.6982331676</v>
      </c>
      <c r="F71" s="2">
        <f t="shared" si="10"/>
        <v>1225.6517497883335</v>
      </c>
      <c r="G71" s="2">
        <f t="shared" si="11"/>
        <v>3734560559.7127018</v>
      </c>
    </row>
    <row r="72" spans="1:7" x14ac:dyDescent="0.3">
      <c r="A72" s="4">
        <v>99.912399291992188</v>
      </c>
      <c r="B72" s="6">
        <v>122847.55839999999</v>
      </c>
      <c r="C72" s="4">
        <f t="shared" si="7"/>
        <v>-19.513868627413899</v>
      </c>
      <c r="D72" s="6">
        <f t="shared" si="8"/>
        <v>61143.38104408449</v>
      </c>
      <c r="E72" s="2">
        <f t="shared" si="9"/>
        <v>-1193143.905130174</v>
      </c>
      <c r="F72" s="2">
        <f t="shared" si="10"/>
        <v>380.79106880796843</v>
      </c>
      <c r="G72" s="2">
        <f t="shared" si="11"/>
        <v>3738513045.5021105</v>
      </c>
    </row>
    <row r="73" spans="1:7" ht="15" thickBot="1" x14ac:dyDescent="0.35">
      <c r="A73" s="11">
        <f t="shared" ref="A73:G73" si="12">SUM(A2:A72)</f>
        <v>8479.265022277832</v>
      </c>
      <c r="B73" s="11">
        <f t="shared" si="12"/>
        <v>4380996.5922700008</v>
      </c>
      <c r="C73" s="11">
        <f t="shared" si="12"/>
        <v>-1.1368683772161603E-13</v>
      </c>
      <c r="D73" s="11">
        <f t="shared" si="12"/>
        <v>-9.4587448984384537E-10</v>
      </c>
      <c r="E73" s="11">
        <f t="shared" si="12"/>
        <v>19950956.261048932</v>
      </c>
      <c r="F73" s="11">
        <f t="shared" si="12"/>
        <v>135636.67315368389</v>
      </c>
      <c r="G73" s="11">
        <f t="shared" si="12"/>
        <v>25641899559.855022</v>
      </c>
    </row>
    <row r="74" spans="1:7" ht="15" thickTop="1" x14ac:dyDescent="0.3"/>
    <row r="75" spans="1:7" x14ac:dyDescent="0.3">
      <c r="A75" s="13" t="s">
        <v>18</v>
      </c>
      <c r="B75" s="13"/>
    </row>
    <row r="76" spans="1:7" x14ac:dyDescent="0.3">
      <c r="A76" s="2" t="s">
        <v>2</v>
      </c>
      <c r="B76" s="2" t="s">
        <v>3</v>
      </c>
    </row>
    <row r="77" spans="1:7" x14ac:dyDescent="0.3">
      <c r="A77" s="4">
        <f>SUM(A2:A72)/71</f>
        <v>119.42626791940609</v>
      </c>
      <c r="B77" s="6">
        <f>AVERAGE(B2:B72)</f>
        <v>61704.177355915504</v>
      </c>
      <c r="F77" s="6"/>
      <c r="G77" s="6"/>
    </row>
    <row r="78" spans="1:7" x14ac:dyDescent="0.3">
      <c r="A78" s="13" t="s">
        <v>27</v>
      </c>
      <c r="B78" s="13"/>
      <c r="D78" s="4"/>
    </row>
    <row r="79" spans="1:7" x14ac:dyDescent="0.3">
      <c r="A79" s="2">
        <f>E73/SQRT(F73*G73)</f>
        <v>0.33829848636488224</v>
      </c>
      <c r="B79" s="2" t="s">
        <v>20</v>
      </c>
    </row>
    <row r="80" spans="1:7" x14ac:dyDescent="0.3">
      <c r="A80" s="2">
        <f>CORREL(A2:A72,B2:B72)</f>
        <v>0.33829848636488224</v>
      </c>
      <c r="B80" s="2" t="s">
        <v>21</v>
      </c>
    </row>
    <row r="82" spans="1:6" x14ac:dyDescent="0.3">
      <c r="A82" s="13" t="s">
        <v>19</v>
      </c>
      <c r="B82" s="13"/>
    </row>
    <row r="85" spans="1:6" x14ac:dyDescent="0.3">
      <c r="A85" s="14"/>
      <c r="B85" s="14"/>
    </row>
    <row r="89" spans="1:6" x14ac:dyDescent="0.3">
      <c r="A89" s="13"/>
      <c r="B89" s="13"/>
    </row>
    <row r="91" spans="1:6" x14ac:dyDescent="0.3">
      <c r="A91" s="13" t="s">
        <v>28</v>
      </c>
      <c r="B91" s="13"/>
      <c r="C91" s="13"/>
      <c r="D91" s="13"/>
      <c r="E91" s="13"/>
      <c r="F91" s="13"/>
    </row>
  </sheetData>
  <mergeCells count="6">
    <mergeCell ref="A91:F91"/>
    <mergeCell ref="A75:B75"/>
    <mergeCell ref="A82:B82"/>
    <mergeCell ref="A89:B89"/>
    <mergeCell ref="A85:B85"/>
    <mergeCell ref="A78:B7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A985-CEF0-4443-936C-65825EAB57E1}">
  <dimension ref="A1:G91"/>
  <sheetViews>
    <sheetView topLeftCell="A51" workbookViewId="0">
      <selection activeCell="B86" sqref="B86"/>
    </sheetView>
  </sheetViews>
  <sheetFormatPr defaultRowHeight="14.4" x14ac:dyDescent="0.3"/>
  <cols>
    <col min="1" max="1" width="8.88671875" style="2"/>
    <col min="2" max="2" width="12.88671875" style="6" bestFit="1" customWidth="1"/>
    <col min="3" max="3" width="12.88671875" style="2" bestFit="1" customWidth="1"/>
    <col min="4" max="4" width="13.44140625" style="2" bestFit="1" customWidth="1"/>
    <col min="5" max="5" width="26.88671875" style="2" bestFit="1" customWidth="1"/>
    <col min="6" max="6" width="20.5546875" style="2" bestFit="1" customWidth="1"/>
    <col min="7" max="7" width="21" style="2" bestFit="1" customWidth="1"/>
    <col min="8" max="16384" width="8.88671875" style="2"/>
  </cols>
  <sheetData>
    <row r="1" spans="1:7" x14ac:dyDescent="0.3">
      <c r="A1" s="1" t="s">
        <v>2</v>
      </c>
      <c r="B1" s="5" t="s">
        <v>7</v>
      </c>
      <c r="C1" s="5" t="s">
        <v>22</v>
      </c>
      <c r="D1" s="5" t="s">
        <v>29</v>
      </c>
      <c r="E1" s="1" t="s">
        <v>30</v>
      </c>
      <c r="F1" s="1" t="s">
        <v>25</v>
      </c>
      <c r="G1" s="1" t="s">
        <v>31</v>
      </c>
    </row>
    <row r="2" spans="1:7" x14ac:dyDescent="0.3">
      <c r="A2" s="4">
        <v>138.42094421386719</v>
      </c>
      <c r="B2" s="6">
        <v>11962.1</v>
      </c>
      <c r="C2" s="4">
        <f t="shared" ref="C2:C33" si="0">A2-$A$77</f>
        <v>18.994676294461101</v>
      </c>
      <c r="D2" s="6">
        <f t="shared" ref="D2:D33" si="1">B2-$B$77</f>
        <v>-6536.8021126760632</v>
      </c>
      <c r="E2" s="2">
        <f>C2*D2</f>
        <v>-124164.44013123125</v>
      </c>
      <c r="F2" s="2">
        <f>C2*C2</f>
        <v>360.79772753136251</v>
      </c>
      <c r="G2" s="2">
        <f>D2*D2</f>
        <v>42729781.860286243</v>
      </c>
    </row>
    <row r="3" spans="1:7" x14ac:dyDescent="0.3">
      <c r="A3" s="4">
        <v>75.955558776855469</v>
      </c>
      <c r="B3" s="6">
        <v>11201.75</v>
      </c>
      <c r="C3" s="4">
        <f t="shared" si="0"/>
        <v>-43.470709142550618</v>
      </c>
      <c r="D3" s="6">
        <f t="shared" si="1"/>
        <v>-7297.1521126760636</v>
      </c>
      <c r="E3" s="2">
        <f t="shared" ref="E3:E66" si="2">C3*D3</f>
        <v>317212.37705908989</v>
      </c>
      <c r="F3" s="2">
        <f t="shared" ref="F3:G66" si="3">C3*C3</f>
        <v>1889.7025533562339</v>
      </c>
      <c r="G3" s="2">
        <f t="shared" si="3"/>
        <v>53248428.955532737</v>
      </c>
    </row>
    <row r="4" spans="1:7" x14ac:dyDescent="0.3">
      <c r="A4" s="4">
        <v>81.540031433105497</v>
      </c>
      <c r="B4" s="6">
        <v>8597.75</v>
      </c>
      <c r="C4" s="4">
        <f t="shared" si="0"/>
        <v>-37.886236486300589</v>
      </c>
      <c r="D4" s="6">
        <f t="shared" si="1"/>
        <v>-9901.1521126760636</v>
      </c>
      <c r="E4" s="2">
        <f t="shared" si="2"/>
        <v>375117.39042768005</v>
      </c>
      <c r="F4" s="2">
        <f t="shared" si="3"/>
        <v>1435.366915095894</v>
      </c>
      <c r="G4" s="2">
        <f t="shared" si="3"/>
        <v>98032813.158349678</v>
      </c>
    </row>
    <row r="5" spans="1:7" x14ac:dyDescent="0.3">
      <c r="A5" s="4">
        <v>69.339401245117188</v>
      </c>
      <c r="B5" s="6">
        <v>9859.9</v>
      </c>
      <c r="C5" s="4">
        <f t="shared" si="0"/>
        <v>-50.086866674288899</v>
      </c>
      <c r="D5" s="6">
        <f t="shared" si="1"/>
        <v>-8639.0021126760639</v>
      </c>
      <c r="E5" s="2">
        <f t="shared" si="2"/>
        <v>432700.54701650614</v>
      </c>
      <c r="F5" s="2">
        <f t="shared" si="3"/>
        <v>2508.6942132479921</v>
      </c>
      <c r="G5" s="2">
        <f t="shared" si="3"/>
        <v>74632357.50282149</v>
      </c>
    </row>
    <row r="6" spans="1:7" x14ac:dyDescent="0.3">
      <c r="A6" s="4">
        <v>68.507217407226563</v>
      </c>
      <c r="B6" s="6">
        <v>9580.2999999999993</v>
      </c>
      <c r="C6" s="4">
        <f t="shared" si="0"/>
        <v>-50.919050512179524</v>
      </c>
      <c r="D6" s="6">
        <f t="shared" si="1"/>
        <v>-8918.6021126760643</v>
      </c>
      <c r="E6" s="2">
        <f t="shared" si="2"/>
        <v>454126.75147338351</v>
      </c>
      <c r="F6" s="2">
        <f t="shared" si="3"/>
        <v>2592.7497050618899</v>
      </c>
      <c r="G6" s="2">
        <f t="shared" si="3"/>
        <v>79541463.644229963</v>
      </c>
    </row>
    <row r="7" spans="1:7" x14ac:dyDescent="0.3">
      <c r="A7" s="4">
        <v>71.227859497070313</v>
      </c>
      <c r="B7" s="6">
        <v>10302.1</v>
      </c>
      <c r="C7" s="4">
        <f t="shared" si="0"/>
        <v>-48.198408422335774</v>
      </c>
      <c r="D7" s="6">
        <f t="shared" si="1"/>
        <v>-8196.8021126760632</v>
      </c>
      <c r="E7" s="2">
        <f t="shared" si="2"/>
        <v>395072.81598382565</v>
      </c>
      <c r="F7" s="2">
        <f t="shared" si="3"/>
        <v>2323.0865744462881</v>
      </c>
      <c r="G7" s="2">
        <f t="shared" si="3"/>
        <v>67187564.874370769</v>
      </c>
    </row>
    <row r="8" spans="1:7" x14ac:dyDescent="0.3">
      <c r="A8" s="4">
        <v>66.473281860351563</v>
      </c>
      <c r="B8" s="6">
        <v>11073.45</v>
      </c>
      <c r="C8" s="4">
        <f t="shared" si="0"/>
        <v>-52.952986059054524</v>
      </c>
      <c r="D8" s="6">
        <f t="shared" si="1"/>
        <v>-7425.4521126760628</v>
      </c>
      <c r="E8" s="2">
        <f t="shared" si="2"/>
        <v>393199.86220471252</v>
      </c>
      <c r="F8" s="2">
        <f t="shared" si="3"/>
        <v>2804.0187325704228</v>
      </c>
      <c r="G8" s="2">
        <f t="shared" si="3"/>
        <v>55137339.077645406</v>
      </c>
    </row>
    <row r="9" spans="1:7" x14ac:dyDescent="0.3">
      <c r="A9" s="4">
        <v>65.466049194335938</v>
      </c>
      <c r="B9" s="6">
        <v>11387.5</v>
      </c>
      <c r="C9" s="4">
        <f t="shared" si="0"/>
        <v>-53.960218725070149</v>
      </c>
      <c r="D9" s="6">
        <f t="shared" si="1"/>
        <v>-7111.4021126760636</v>
      </c>
      <c r="E9" s="2">
        <f t="shared" si="2"/>
        <v>383732.81344192632</v>
      </c>
      <c r="F9" s="2">
        <f t="shared" si="3"/>
        <v>2911.705204857411</v>
      </c>
      <c r="G9" s="2">
        <f t="shared" si="3"/>
        <v>50572040.008173577</v>
      </c>
    </row>
    <row r="10" spans="1:7" x14ac:dyDescent="0.3">
      <c r="A10" s="4">
        <v>80.37738037109375</v>
      </c>
      <c r="B10" s="6">
        <v>11247.55</v>
      </c>
      <c r="C10" s="4">
        <f t="shared" si="0"/>
        <v>-39.048887548312337</v>
      </c>
      <c r="D10" s="6">
        <f t="shared" si="1"/>
        <v>-7251.3521126760643</v>
      </c>
      <c r="E10" s="2">
        <f t="shared" si="2"/>
        <v>283157.23322110472</v>
      </c>
      <c r="F10" s="2">
        <f t="shared" si="3"/>
        <v>1524.8156187607422</v>
      </c>
      <c r="G10" s="2">
        <f t="shared" si="3"/>
        <v>52582107.46201162</v>
      </c>
    </row>
    <row r="11" spans="1:7" x14ac:dyDescent="0.3">
      <c r="A11" s="4">
        <v>76.083168029785156</v>
      </c>
      <c r="B11" s="6">
        <v>11642.4</v>
      </c>
      <c r="C11" s="4">
        <f t="shared" si="0"/>
        <v>-43.34309988962093</v>
      </c>
      <c r="D11" s="6">
        <f t="shared" si="1"/>
        <v>-6856.5021126760639</v>
      </c>
      <c r="E11" s="2">
        <f t="shared" si="2"/>
        <v>297182.05596311559</v>
      </c>
      <c r="F11" s="2">
        <f t="shared" si="3"/>
        <v>1878.624308041658</v>
      </c>
      <c r="G11" s="2">
        <f t="shared" si="3"/>
        <v>47011621.221131325</v>
      </c>
    </row>
    <row r="12" spans="1:7" x14ac:dyDescent="0.3">
      <c r="A12" s="4">
        <v>70.067466735839844</v>
      </c>
      <c r="B12" s="6">
        <v>12968.95</v>
      </c>
      <c r="C12" s="4">
        <f t="shared" si="0"/>
        <v>-49.358801183566243</v>
      </c>
      <c r="D12" s="6">
        <f t="shared" si="1"/>
        <v>-5529.9521126760628</v>
      </c>
      <c r="E12" s="2">
        <f t="shared" si="2"/>
        <v>272951.80688421987</v>
      </c>
      <c r="F12" s="2">
        <f t="shared" si="3"/>
        <v>2436.2912542788204</v>
      </c>
      <c r="G12" s="2">
        <f t="shared" si="3"/>
        <v>30580370.36849045</v>
      </c>
    </row>
    <row r="13" spans="1:7" x14ac:dyDescent="0.3">
      <c r="A13" s="4">
        <v>64.067291259765625</v>
      </c>
      <c r="B13" s="6">
        <v>13981.75</v>
      </c>
      <c r="C13" s="4">
        <f t="shared" si="0"/>
        <v>-55.358976659640462</v>
      </c>
      <c r="D13" s="6">
        <f t="shared" si="1"/>
        <v>-4517.1521126760636</v>
      </c>
      <c r="E13" s="2">
        <f t="shared" si="2"/>
        <v>250064.9183736798</v>
      </c>
      <c r="F13" s="2">
        <f t="shared" si="3"/>
        <v>3064.6162968026174</v>
      </c>
      <c r="G13" s="2">
        <f t="shared" si="3"/>
        <v>20404663.209053826</v>
      </c>
    </row>
    <row r="14" spans="1:7" x14ac:dyDescent="0.3">
      <c r="A14" s="4">
        <v>77.418701171875</v>
      </c>
      <c r="B14" s="6">
        <v>13634.6</v>
      </c>
      <c r="C14" s="4">
        <f t="shared" si="0"/>
        <v>-42.007566747531087</v>
      </c>
      <c r="D14" s="6">
        <f t="shared" si="1"/>
        <v>-4864.3021126760632</v>
      </c>
      <c r="E14" s="2">
        <f t="shared" si="2"/>
        <v>204337.4956783962</v>
      </c>
      <c r="F14" s="2">
        <f t="shared" si="3"/>
        <v>1764.6356640482795</v>
      </c>
      <c r="G14" s="2">
        <f t="shared" si="3"/>
        <v>23661435.043384813</v>
      </c>
    </row>
    <row r="15" spans="1:7" x14ac:dyDescent="0.3">
      <c r="A15" s="4">
        <v>73.956802368164063</v>
      </c>
      <c r="B15" s="6">
        <v>14529.15</v>
      </c>
      <c r="C15" s="4">
        <f t="shared" si="0"/>
        <v>-45.469465551242024</v>
      </c>
      <c r="D15" s="6">
        <f t="shared" si="1"/>
        <v>-3969.7521126760639</v>
      </c>
      <c r="E15" s="2">
        <f t="shared" si="2"/>
        <v>180502.50693429454</v>
      </c>
      <c r="F15" s="2">
        <f t="shared" si="3"/>
        <v>2067.4722975155851</v>
      </c>
      <c r="G15" s="2">
        <f t="shared" si="3"/>
        <v>15758931.836096073</v>
      </c>
    </row>
    <row r="16" spans="1:7" x14ac:dyDescent="0.3">
      <c r="A16" s="4">
        <v>78.618766784667969</v>
      </c>
      <c r="B16" s="6">
        <v>14690.7</v>
      </c>
      <c r="C16" s="4">
        <f t="shared" si="0"/>
        <v>-40.807501134738118</v>
      </c>
      <c r="D16" s="6">
        <f t="shared" si="1"/>
        <v>-3808.2021126760628</v>
      </c>
      <c r="E16" s="2">
        <f t="shared" si="2"/>
        <v>155403.21203434054</v>
      </c>
      <c r="F16" s="2">
        <f t="shared" si="3"/>
        <v>1665.2521488616528</v>
      </c>
      <c r="G16" s="2">
        <f t="shared" si="3"/>
        <v>14502403.330990428</v>
      </c>
    </row>
    <row r="17" spans="1:7" x14ac:dyDescent="0.3">
      <c r="A17" s="4">
        <v>88.166221618652344</v>
      </c>
      <c r="B17" s="6">
        <v>14631.1</v>
      </c>
      <c r="C17" s="4">
        <f t="shared" si="0"/>
        <v>-31.260046300753743</v>
      </c>
      <c r="D17" s="6">
        <f t="shared" si="1"/>
        <v>-3867.8021126760632</v>
      </c>
      <c r="E17" s="2">
        <f t="shared" si="2"/>
        <v>120907.67312440688</v>
      </c>
      <c r="F17" s="2">
        <f t="shared" si="3"/>
        <v>977.19049472526774</v>
      </c>
      <c r="G17" s="2">
        <f t="shared" si="3"/>
        <v>14959893.182821417</v>
      </c>
    </row>
    <row r="18" spans="1:7" x14ac:dyDescent="0.3">
      <c r="A18" s="4">
        <v>93.007133483886719</v>
      </c>
      <c r="B18" s="6">
        <v>15582.8</v>
      </c>
      <c r="C18" s="4">
        <f t="shared" si="0"/>
        <v>-26.419134435519368</v>
      </c>
      <c r="D18" s="6">
        <f t="shared" si="1"/>
        <v>-2916.1021126760643</v>
      </c>
      <c r="E18" s="2">
        <f t="shared" si="2"/>
        <v>77040.893742490996</v>
      </c>
      <c r="F18" s="2">
        <f t="shared" si="3"/>
        <v>697.97066432204531</v>
      </c>
      <c r="G18" s="2">
        <f t="shared" si="3"/>
        <v>8503651.5315538049</v>
      </c>
    </row>
    <row r="19" spans="1:7" x14ac:dyDescent="0.3">
      <c r="A19" s="4">
        <v>74.127120971679688</v>
      </c>
      <c r="B19" s="6">
        <v>15721.5</v>
      </c>
      <c r="C19" s="4">
        <f t="shared" si="0"/>
        <v>-45.299146947726399</v>
      </c>
      <c r="D19" s="6">
        <f t="shared" si="1"/>
        <v>-2777.4021126760636</v>
      </c>
      <c r="E19" s="2">
        <f t="shared" si="2"/>
        <v>125813.94643503876</v>
      </c>
      <c r="F19" s="2">
        <f t="shared" si="3"/>
        <v>2052.0127141917101</v>
      </c>
      <c r="G19" s="2">
        <f t="shared" si="3"/>
        <v>7713962.4954974614</v>
      </c>
    </row>
    <row r="20" spans="1:7" x14ac:dyDescent="0.3">
      <c r="A20" s="4">
        <v>58.420768737792969</v>
      </c>
      <c r="B20" s="6">
        <v>15763.05</v>
      </c>
      <c r="C20" s="4">
        <f t="shared" si="0"/>
        <v>-61.005499181613118</v>
      </c>
      <c r="D20" s="6">
        <f t="shared" si="1"/>
        <v>-2735.8521126760643</v>
      </c>
      <c r="E20" s="2">
        <f t="shared" si="2"/>
        <v>166902.02382087416</v>
      </c>
      <c r="F20" s="2">
        <f t="shared" si="3"/>
        <v>3721.6709303977987</v>
      </c>
      <c r="G20" s="2">
        <f t="shared" si="3"/>
        <v>7484886.7824340845</v>
      </c>
    </row>
    <row r="21" spans="1:7" x14ac:dyDescent="0.3">
      <c r="A21" s="4">
        <v>89.486549377441406</v>
      </c>
      <c r="B21" s="6">
        <v>17132.2</v>
      </c>
      <c r="C21" s="4">
        <f t="shared" si="0"/>
        <v>-29.93971854196468</v>
      </c>
      <c r="D21" s="6">
        <f t="shared" si="1"/>
        <v>-1366.7021126760628</v>
      </c>
      <c r="E21" s="2">
        <f t="shared" si="2"/>
        <v>40918.676584229819</v>
      </c>
      <c r="F21" s="2">
        <f t="shared" si="3"/>
        <v>896.38674637206373</v>
      </c>
      <c r="G21" s="2">
        <f t="shared" si="3"/>
        <v>1867874.6647932136</v>
      </c>
    </row>
    <row r="22" spans="1:7" x14ac:dyDescent="0.3">
      <c r="A22" s="4">
        <v>80.696968078613281</v>
      </c>
      <c r="B22" s="6">
        <v>17618.150000000001</v>
      </c>
      <c r="C22" s="4">
        <f t="shared" si="0"/>
        <v>-38.729299840792805</v>
      </c>
      <c r="D22" s="6">
        <f t="shared" si="1"/>
        <v>-880.7521126760621</v>
      </c>
      <c r="E22" s="2">
        <f t="shared" si="2"/>
        <v>34110.912657242938</v>
      </c>
      <c r="F22" s="2">
        <f t="shared" si="3"/>
        <v>1499.9586661580336</v>
      </c>
      <c r="G22" s="2">
        <f t="shared" si="3"/>
        <v>775724.28398334677</v>
      </c>
    </row>
    <row r="23" spans="1:7" x14ac:dyDescent="0.3">
      <c r="A23" s="4">
        <v>79.02923583984375</v>
      </c>
      <c r="B23" s="6">
        <v>17671.650000000001</v>
      </c>
      <c r="C23" s="4">
        <f t="shared" si="0"/>
        <v>-40.397032079562337</v>
      </c>
      <c r="D23" s="6">
        <f t="shared" si="1"/>
        <v>-827.2521126760621</v>
      </c>
      <c r="E23" s="2">
        <f t="shared" si="2"/>
        <v>33418.530133660599</v>
      </c>
      <c r="F23" s="2">
        <f t="shared" si="3"/>
        <v>1631.9202008371885</v>
      </c>
      <c r="G23" s="2">
        <f t="shared" si="3"/>
        <v>684346.05792700814</v>
      </c>
    </row>
    <row r="24" spans="1:7" x14ac:dyDescent="0.3">
      <c r="A24" s="4">
        <v>86.569145202636719</v>
      </c>
      <c r="B24" s="6">
        <v>16983.2</v>
      </c>
      <c r="C24" s="4">
        <f t="shared" si="0"/>
        <v>-32.857122716769368</v>
      </c>
      <c r="D24" s="6">
        <f t="shared" si="1"/>
        <v>-1515.7021126760628</v>
      </c>
      <c r="E24" s="2">
        <f t="shared" si="2"/>
        <v>49801.610318263985</v>
      </c>
      <c r="F24" s="2">
        <f t="shared" si="3"/>
        <v>1079.5905132248417</v>
      </c>
      <c r="G24" s="2">
        <f t="shared" si="3"/>
        <v>2297352.8943706802</v>
      </c>
    </row>
    <row r="25" spans="1:7" x14ac:dyDescent="0.3">
      <c r="A25" s="4">
        <v>105.34542083740234</v>
      </c>
      <c r="B25" s="6">
        <v>17354.05</v>
      </c>
      <c r="C25" s="4">
        <f t="shared" si="0"/>
        <v>-14.080847082003743</v>
      </c>
      <c r="D25" s="6">
        <f t="shared" si="1"/>
        <v>-1144.8521126760643</v>
      </c>
      <c r="E25" s="2">
        <f t="shared" si="2"/>
        <v>16120.48753010058</v>
      </c>
      <c r="F25" s="2">
        <f t="shared" si="3"/>
        <v>198.27025454677332</v>
      </c>
      <c r="G25" s="2">
        <f t="shared" si="3"/>
        <v>1310686.3598988478</v>
      </c>
    </row>
    <row r="26" spans="1:7" x14ac:dyDescent="0.3">
      <c r="A26" s="4">
        <v>138.67498779296875</v>
      </c>
      <c r="B26" s="6">
        <v>17339.849999999999</v>
      </c>
      <c r="C26" s="4">
        <f t="shared" si="0"/>
        <v>19.248719873562663</v>
      </c>
      <c r="D26" s="6">
        <f t="shared" si="1"/>
        <v>-1159.052112676065</v>
      </c>
      <c r="E26" s="2">
        <f t="shared" si="2"/>
        <v>-22310.269435762562</v>
      </c>
      <c r="F26" s="2">
        <f t="shared" si="3"/>
        <v>370.51321677088623</v>
      </c>
      <c r="G26" s="2">
        <f t="shared" si="3"/>
        <v>1343401.7998988498</v>
      </c>
    </row>
    <row r="27" spans="1:7" x14ac:dyDescent="0.3">
      <c r="A27" s="4">
        <v>216.15901184082031</v>
      </c>
      <c r="B27" s="6">
        <v>16793.900000000001</v>
      </c>
      <c r="C27" s="4">
        <f t="shared" si="0"/>
        <v>96.732743921414226</v>
      </c>
      <c r="D27" s="6">
        <f t="shared" si="1"/>
        <v>-1705.0021126760621</v>
      </c>
      <c r="E27" s="2">
        <f t="shared" si="2"/>
        <v>-164929.53275096376</v>
      </c>
      <c r="F27" s="2">
        <f t="shared" si="3"/>
        <v>9357.2237465659</v>
      </c>
      <c r="G27" s="2">
        <f t="shared" si="3"/>
        <v>2907032.204229835</v>
      </c>
    </row>
    <row r="28" spans="1:7" x14ac:dyDescent="0.3">
      <c r="A28" s="4">
        <v>318.95492553710938</v>
      </c>
      <c r="B28" s="6">
        <v>17464.75</v>
      </c>
      <c r="C28" s="4">
        <f t="shared" si="0"/>
        <v>199.52865761770329</v>
      </c>
      <c r="D28" s="6">
        <f t="shared" si="1"/>
        <v>-1034.1521126760636</v>
      </c>
      <c r="E28" s="2">
        <f t="shared" si="2"/>
        <v>-206342.98281476679</v>
      </c>
      <c r="F28" s="2">
        <f t="shared" si="3"/>
        <v>39811.685210722666</v>
      </c>
      <c r="G28" s="2">
        <f t="shared" si="3"/>
        <v>1069470.5921523657</v>
      </c>
    </row>
    <row r="29" spans="1:7" x14ac:dyDescent="0.3">
      <c r="A29" s="4">
        <v>191.14309692382813</v>
      </c>
      <c r="B29" s="6">
        <v>17102.55</v>
      </c>
      <c r="C29" s="4">
        <f t="shared" si="0"/>
        <v>71.716829004422038</v>
      </c>
      <c r="D29" s="6">
        <f t="shared" si="1"/>
        <v>-1396.3521126760643</v>
      </c>
      <c r="E29" s="2">
        <f t="shared" si="2"/>
        <v>-100141.94569475275</v>
      </c>
      <c r="F29" s="2">
        <f t="shared" si="3"/>
        <v>5143.3035624495105</v>
      </c>
      <c r="G29" s="2">
        <f t="shared" si="3"/>
        <v>1949799.2225749081</v>
      </c>
    </row>
    <row r="30" spans="1:7" x14ac:dyDescent="0.3">
      <c r="A30" s="4">
        <v>142.25848388671875</v>
      </c>
      <c r="B30" s="6">
        <v>16584.55</v>
      </c>
      <c r="C30" s="4">
        <f t="shared" si="0"/>
        <v>22.832215967312663</v>
      </c>
      <c r="D30" s="6">
        <f t="shared" si="1"/>
        <v>-1914.3521126760643</v>
      </c>
      <c r="E30" s="2">
        <f t="shared" si="2"/>
        <v>-43708.900874101164</v>
      </c>
      <c r="F30" s="2">
        <f t="shared" si="3"/>
        <v>521.31008597800735</v>
      </c>
      <c r="G30" s="2">
        <f t="shared" si="3"/>
        <v>3664744.0113073108</v>
      </c>
    </row>
    <row r="31" spans="1:7" x14ac:dyDescent="0.3">
      <c r="A31" s="4">
        <v>130.70732116699219</v>
      </c>
      <c r="B31" s="6">
        <v>15780.25</v>
      </c>
      <c r="C31" s="4">
        <f t="shared" si="0"/>
        <v>11.281053247586101</v>
      </c>
      <c r="D31" s="6">
        <f t="shared" si="1"/>
        <v>-2718.6521126760636</v>
      </c>
      <c r="E31" s="2">
        <f t="shared" si="2"/>
        <v>-30669.25924476112</v>
      </c>
      <c r="F31" s="2">
        <f t="shared" si="3"/>
        <v>127.26216237487291</v>
      </c>
      <c r="G31" s="2">
        <f t="shared" si="3"/>
        <v>7391069.3097580234</v>
      </c>
    </row>
    <row r="32" spans="1:7" x14ac:dyDescent="0.3">
      <c r="A32" s="4">
        <v>117.17676544189453</v>
      </c>
      <c r="B32" s="6">
        <v>17158.25</v>
      </c>
      <c r="C32" s="4">
        <f t="shared" si="0"/>
        <v>-2.2495024775115553</v>
      </c>
      <c r="D32" s="6">
        <f t="shared" si="1"/>
        <v>-1340.6521126760636</v>
      </c>
      <c r="E32" s="2">
        <f t="shared" si="2"/>
        <v>3015.8002489459059</v>
      </c>
      <c r="F32" s="2">
        <f t="shared" si="3"/>
        <v>5.0602613963306258</v>
      </c>
      <c r="G32" s="2">
        <f t="shared" si="3"/>
        <v>1797348.0872227927</v>
      </c>
    </row>
    <row r="33" spans="1:7" x14ac:dyDescent="0.3">
      <c r="A33" s="4">
        <v>132.86322021484375</v>
      </c>
      <c r="B33" s="6">
        <v>17759.3</v>
      </c>
      <c r="C33" s="4">
        <f t="shared" si="0"/>
        <v>13.436952295437663</v>
      </c>
      <c r="D33" s="6">
        <f t="shared" si="1"/>
        <v>-739.60211267606428</v>
      </c>
      <c r="E33" s="2">
        <f t="shared" si="2"/>
        <v>-9937.9983056331876</v>
      </c>
      <c r="F33" s="2">
        <f t="shared" si="3"/>
        <v>180.55168698986751</v>
      </c>
      <c r="G33" s="2">
        <f t="shared" si="3"/>
        <v>547011.28507489769</v>
      </c>
    </row>
    <row r="34" spans="1:7" x14ac:dyDescent="0.3">
      <c r="A34" s="4">
        <v>131.98587036132813</v>
      </c>
      <c r="B34" s="6">
        <v>17094.349999999999</v>
      </c>
      <c r="C34" s="4">
        <f t="shared" ref="C34:C65" si="4">A34-$A$77</f>
        <v>12.559602441922038</v>
      </c>
      <c r="D34" s="6">
        <f t="shared" ref="D34:D65" si="5">B34-$B$77</f>
        <v>-1404.552112676065</v>
      </c>
      <c r="E34" s="2">
        <f t="shared" si="2"/>
        <v>-17640.616144173066</v>
      </c>
      <c r="F34" s="2">
        <f t="shared" si="3"/>
        <v>157.74361349913403</v>
      </c>
      <c r="G34" s="2">
        <f t="shared" si="3"/>
        <v>1972766.6372227976</v>
      </c>
    </row>
    <row r="35" spans="1:7" x14ac:dyDescent="0.3">
      <c r="A35" s="4">
        <v>143.16241455078125</v>
      </c>
      <c r="B35" s="6">
        <v>18012.2</v>
      </c>
      <c r="C35" s="4">
        <f t="shared" si="4"/>
        <v>23.736146631375163</v>
      </c>
      <c r="D35" s="6">
        <f t="shared" si="5"/>
        <v>-486.70211267606282</v>
      </c>
      <c r="E35" s="2">
        <f t="shared" si="2"/>
        <v>-11552.432712279104</v>
      </c>
      <c r="F35" s="2">
        <f t="shared" si="3"/>
        <v>563.40465690614246</v>
      </c>
      <c r="G35" s="2">
        <f t="shared" si="3"/>
        <v>236878.94648334297</v>
      </c>
    </row>
    <row r="36" spans="1:7" x14ac:dyDescent="0.3">
      <c r="A36" s="4">
        <v>116.71628570556641</v>
      </c>
      <c r="B36" s="6">
        <v>18758.349999999999</v>
      </c>
      <c r="C36" s="4">
        <f t="shared" si="4"/>
        <v>-2.7099822138396803</v>
      </c>
      <c r="D36" s="6">
        <f t="shared" si="5"/>
        <v>259.44788732393499</v>
      </c>
      <c r="E36" s="2">
        <f t="shared" si="2"/>
        <v>-703.09916006614526</v>
      </c>
      <c r="F36" s="2">
        <f t="shared" si="3"/>
        <v>7.3440035993274151</v>
      </c>
      <c r="G36" s="2">
        <f t="shared" si="3"/>
        <v>67313.206236853264</v>
      </c>
    </row>
    <row r="37" spans="1:7" x14ac:dyDescent="0.3">
      <c r="A37" s="4">
        <v>111.19593811035156</v>
      </c>
      <c r="B37" s="6">
        <v>18105.3</v>
      </c>
      <c r="C37" s="4">
        <f t="shared" si="4"/>
        <v>-8.230329809054524</v>
      </c>
      <c r="D37" s="6">
        <f t="shared" si="5"/>
        <v>-393.60211267606428</v>
      </c>
      <c r="E37" s="2">
        <f t="shared" si="2"/>
        <v>3239.4752008646492</v>
      </c>
      <c r="F37" s="2">
        <f t="shared" si="3"/>
        <v>67.738328765811474</v>
      </c>
      <c r="G37" s="2">
        <f t="shared" si="3"/>
        <v>154922.6231030612</v>
      </c>
    </row>
    <row r="38" spans="1:7" x14ac:dyDescent="0.3">
      <c r="A38" s="4">
        <v>104.26704406738281</v>
      </c>
      <c r="B38" s="6">
        <v>17662.150000000001</v>
      </c>
      <c r="C38" s="4">
        <f t="shared" si="4"/>
        <v>-15.159223852023274</v>
      </c>
      <c r="D38" s="6">
        <f t="shared" si="5"/>
        <v>-836.7521126760621</v>
      </c>
      <c r="E38" s="2">
        <f t="shared" si="2"/>
        <v>12684.512584709826</v>
      </c>
      <c r="F38" s="2">
        <f t="shared" si="3"/>
        <v>229.80206779575136</v>
      </c>
      <c r="G38" s="2">
        <f t="shared" si="3"/>
        <v>700154.09806785337</v>
      </c>
    </row>
    <row r="39" spans="1:7" x14ac:dyDescent="0.3">
      <c r="A39" s="4">
        <v>120.99437713623047</v>
      </c>
      <c r="B39" s="6">
        <v>17303.95</v>
      </c>
      <c r="C39" s="4">
        <f t="shared" si="4"/>
        <v>1.5681092168243822</v>
      </c>
      <c r="D39" s="6">
        <f t="shared" si="5"/>
        <v>-1194.9521126760628</v>
      </c>
      <c r="E39" s="2">
        <f t="shared" si="2"/>
        <v>-1873.8154215511017</v>
      </c>
      <c r="F39" s="2">
        <f t="shared" si="3"/>
        <v>2.4589665158895775</v>
      </c>
      <c r="G39" s="2">
        <f t="shared" si="3"/>
        <v>1427910.5515889858</v>
      </c>
    </row>
    <row r="40" spans="1:7" x14ac:dyDescent="0.3">
      <c r="A40" s="4">
        <v>105.37997436523438</v>
      </c>
      <c r="B40" s="6">
        <v>17359.75</v>
      </c>
      <c r="C40" s="4">
        <f t="shared" si="4"/>
        <v>-14.046293554171712</v>
      </c>
      <c r="D40" s="6">
        <f t="shared" si="5"/>
        <v>-1139.1521126760636</v>
      </c>
      <c r="E40" s="2">
        <f t="shared" si="2"/>
        <v>16000.864977502879</v>
      </c>
      <c r="F40" s="2">
        <f t="shared" si="3"/>
        <v>197.29836260996578</v>
      </c>
      <c r="G40" s="2">
        <f t="shared" si="3"/>
        <v>1297667.5358143391</v>
      </c>
    </row>
    <row r="41" spans="1:7" x14ac:dyDescent="0.3">
      <c r="A41" s="4">
        <v>106.80965423583984</v>
      </c>
      <c r="B41" s="6">
        <v>18065</v>
      </c>
      <c r="C41" s="4">
        <f t="shared" si="4"/>
        <v>-12.616613683566243</v>
      </c>
      <c r="D41" s="6">
        <f t="shared" si="5"/>
        <v>-433.90211267606355</v>
      </c>
      <c r="E41" s="2">
        <f t="shared" si="2"/>
        <v>5474.3753321171253</v>
      </c>
      <c r="F41" s="2">
        <f t="shared" si="3"/>
        <v>159.17894084035095</v>
      </c>
      <c r="G41" s="2">
        <f t="shared" si="3"/>
        <v>188271.04338475136</v>
      </c>
    </row>
    <row r="42" spans="1:7" x14ac:dyDescent="0.3">
      <c r="A42" s="4">
        <v>108.46768188476563</v>
      </c>
      <c r="B42" s="6">
        <v>18534.400000000001</v>
      </c>
      <c r="C42" s="4">
        <f t="shared" si="4"/>
        <v>-10.958586034640462</v>
      </c>
      <c r="D42" s="6">
        <f t="shared" si="5"/>
        <v>35.497887323937903</v>
      </c>
      <c r="E42" s="2">
        <f t="shared" si="2"/>
        <v>-389.00665228734658</v>
      </c>
      <c r="F42" s="2">
        <f t="shared" si="3"/>
        <v>120.09060787861695</v>
      </c>
      <c r="G42" s="2">
        <f t="shared" si="3"/>
        <v>1260.1000044629911</v>
      </c>
    </row>
    <row r="43" spans="1:7" x14ac:dyDescent="0.3">
      <c r="A43" s="4">
        <v>110.52894592285156</v>
      </c>
      <c r="B43" s="6">
        <v>19189.05</v>
      </c>
      <c r="C43" s="4">
        <f t="shared" si="4"/>
        <v>-8.897321996554524</v>
      </c>
      <c r="D43" s="6">
        <f t="shared" si="5"/>
        <v>690.14788732393572</v>
      </c>
      <c r="E43" s="2">
        <f t="shared" si="2"/>
        <v>-6140.4679787628866</v>
      </c>
      <c r="F43" s="2">
        <f t="shared" si="3"/>
        <v>79.162338710372978</v>
      </c>
      <c r="G43" s="2">
        <f t="shared" si="3"/>
        <v>476304.10637769185</v>
      </c>
    </row>
    <row r="44" spans="1:7" x14ac:dyDescent="0.3">
      <c r="A44" s="4">
        <v>107.44878387451172</v>
      </c>
      <c r="B44" s="6">
        <v>19753.8</v>
      </c>
      <c r="C44" s="4">
        <f t="shared" si="4"/>
        <v>-11.977484044894368</v>
      </c>
      <c r="D44" s="6">
        <f t="shared" si="5"/>
        <v>1254.8978873239357</v>
      </c>
      <c r="E44" s="2">
        <f t="shared" si="2"/>
        <v>-15030.519423394091</v>
      </c>
      <c r="F44" s="2">
        <f t="shared" si="3"/>
        <v>143.46012404569913</v>
      </c>
      <c r="G44" s="2">
        <f t="shared" si="3"/>
        <v>1574768.7076100772</v>
      </c>
    </row>
    <row r="45" spans="1:7" x14ac:dyDescent="0.3">
      <c r="A45" s="4">
        <v>101.14118194580078</v>
      </c>
      <c r="B45" s="6">
        <v>19253.8</v>
      </c>
      <c r="C45" s="4">
        <f t="shared" si="4"/>
        <v>-18.285085973605305</v>
      </c>
      <c r="D45" s="6">
        <f t="shared" si="5"/>
        <v>754.89788732393572</v>
      </c>
      <c r="E45" s="2">
        <f t="shared" si="2"/>
        <v>-13803.372771011174</v>
      </c>
      <c r="F45" s="2">
        <f t="shared" si="3"/>
        <v>334.3443690621375</v>
      </c>
      <c r="G45" s="2">
        <f t="shared" si="3"/>
        <v>569870.82028614159</v>
      </c>
    </row>
    <row r="46" spans="1:7" x14ac:dyDescent="0.3">
      <c r="A46" s="4">
        <v>98.634811401367188</v>
      </c>
      <c r="B46" s="6">
        <v>19638.3</v>
      </c>
      <c r="C46" s="4">
        <f t="shared" si="4"/>
        <v>-20.791456518038899</v>
      </c>
      <c r="D46" s="6">
        <f t="shared" si="5"/>
        <v>1139.3978873239357</v>
      </c>
      <c r="E46" s="2">
        <f t="shared" si="2"/>
        <v>-23689.741631040994</v>
      </c>
      <c r="F46" s="2">
        <f t="shared" si="3"/>
        <v>432.28466414150222</v>
      </c>
      <c r="G46" s="2">
        <f t="shared" si="3"/>
        <v>1298227.5456382481</v>
      </c>
    </row>
    <row r="47" spans="1:7" x14ac:dyDescent="0.3">
      <c r="A47" s="4">
        <v>197.88700866699219</v>
      </c>
      <c r="B47" s="6">
        <v>19079.599999999999</v>
      </c>
      <c r="C47" s="4">
        <f t="shared" si="4"/>
        <v>78.460740747586101</v>
      </c>
      <c r="D47" s="6">
        <f t="shared" si="5"/>
        <v>580.69788732393499</v>
      </c>
      <c r="E47" s="2">
        <f t="shared" si="2"/>
        <v>45561.986389994228</v>
      </c>
      <c r="F47" s="2">
        <f t="shared" si="3"/>
        <v>6156.0878386599179</v>
      </c>
      <c r="G47" s="2">
        <f t="shared" si="3"/>
        <v>337210.0363424815</v>
      </c>
    </row>
    <row r="48" spans="1:7" x14ac:dyDescent="0.3">
      <c r="A48" s="4">
        <v>156.69613647460938</v>
      </c>
      <c r="B48" s="6">
        <v>20133.150000000001</v>
      </c>
      <c r="C48" s="4">
        <f t="shared" si="4"/>
        <v>37.269868555203288</v>
      </c>
      <c r="D48" s="6">
        <f t="shared" si="5"/>
        <v>1634.2478873239379</v>
      </c>
      <c r="E48" s="2">
        <f t="shared" si="2"/>
        <v>60908.203947181843</v>
      </c>
      <c r="F48" s="2">
        <f t="shared" si="3"/>
        <v>1389.0431021221309</v>
      </c>
      <c r="G48" s="2">
        <f t="shared" si="3"/>
        <v>2670766.1572227543</v>
      </c>
    </row>
    <row r="49" spans="1:7" x14ac:dyDescent="0.3">
      <c r="A49" s="4">
        <v>142.27946472167969</v>
      </c>
      <c r="B49" s="6">
        <v>21731.4</v>
      </c>
      <c r="C49" s="4">
        <f t="shared" si="4"/>
        <v>22.853196802273601</v>
      </c>
      <c r="D49" s="6">
        <f t="shared" si="5"/>
        <v>3232.4978873239379</v>
      </c>
      <c r="E49" s="2">
        <f t="shared" si="2"/>
        <v>73872.910381947586</v>
      </c>
      <c r="F49" s="2">
        <f t="shared" si="3"/>
        <v>522.26860408344839</v>
      </c>
      <c r="G49" s="2">
        <f t="shared" si="3"/>
        <v>10449042.591553722</v>
      </c>
    </row>
    <row r="50" spans="1:7" x14ac:dyDescent="0.3">
      <c r="A50" s="4">
        <v>160.3736572265625</v>
      </c>
      <c r="B50" s="6">
        <v>21725.7</v>
      </c>
      <c r="C50" s="4">
        <f t="shared" si="4"/>
        <v>40.947389307156413</v>
      </c>
      <c r="D50" s="6">
        <f t="shared" si="5"/>
        <v>3226.7978873239372</v>
      </c>
      <c r="E50" s="2">
        <f t="shared" si="2"/>
        <v>132128.94930776311</v>
      </c>
      <c r="F50" s="2">
        <f t="shared" si="3"/>
        <v>1676.6886910718274</v>
      </c>
      <c r="G50" s="2">
        <f t="shared" si="3"/>
        <v>10412224.605638225</v>
      </c>
    </row>
    <row r="51" spans="1:7" x14ac:dyDescent="0.3">
      <c r="A51" s="4">
        <v>146.59817504882813</v>
      </c>
      <c r="B51" s="6">
        <v>21982.799999999999</v>
      </c>
      <c r="C51" s="4">
        <f t="shared" si="4"/>
        <v>27.171907129422038</v>
      </c>
      <c r="D51" s="6">
        <f t="shared" si="5"/>
        <v>3483.8978873239357</v>
      </c>
      <c r="E51" s="2">
        <f t="shared" si="2"/>
        <v>94664.149842755622</v>
      </c>
      <c r="F51" s="2">
        <f t="shared" si="3"/>
        <v>738.31253704993617</v>
      </c>
      <c r="G51" s="2">
        <f t="shared" si="3"/>
        <v>12137544.489300182</v>
      </c>
    </row>
    <row r="52" spans="1:7" x14ac:dyDescent="0.3">
      <c r="A52" s="4">
        <v>133.21316528320313</v>
      </c>
      <c r="B52" s="6">
        <v>22326.9</v>
      </c>
      <c r="C52" s="4">
        <f t="shared" si="4"/>
        <v>13.786897363797038</v>
      </c>
      <c r="D52" s="6">
        <f t="shared" si="5"/>
        <v>3827.9978873239379</v>
      </c>
      <c r="E52" s="2">
        <f t="shared" si="2"/>
        <v>52776.213981367029</v>
      </c>
      <c r="F52" s="2">
        <f t="shared" si="3"/>
        <v>190.07853891987372</v>
      </c>
      <c r="G52" s="2">
        <f t="shared" si="3"/>
        <v>14653567.825356532</v>
      </c>
    </row>
    <row r="53" spans="1:7" x14ac:dyDescent="0.3">
      <c r="A53" s="4">
        <v>163.94734191894531</v>
      </c>
      <c r="B53" s="6">
        <v>22604.85</v>
      </c>
      <c r="C53" s="4">
        <f t="shared" si="4"/>
        <v>44.521073999539226</v>
      </c>
      <c r="D53" s="6">
        <f t="shared" si="5"/>
        <v>4105.947887323935</v>
      </c>
      <c r="E53" s="2">
        <f t="shared" si="2"/>
        <v>182801.20972980067</v>
      </c>
      <c r="F53" s="2">
        <f t="shared" si="3"/>
        <v>1982.1260300724477</v>
      </c>
      <c r="G53" s="2">
        <f t="shared" si="3"/>
        <v>16858808.053419884</v>
      </c>
    </row>
    <row r="54" spans="1:7" x14ac:dyDescent="0.3">
      <c r="A54" s="4">
        <v>130.52186584472656</v>
      </c>
      <c r="B54" s="6">
        <v>22530.7</v>
      </c>
      <c r="C54" s="4">
        <f t="shared" si="4"/>
        <v>11.095597925320476</v>
      </c>
      <c r="D54" s="6">
        <f t="shared" si="5"/>
        <v>4031.7978873239372</v>
      </c>
      <c r="E54" s="2">
        <f t="shared" si="2"/>
        <v>44735.208273902957</v>
      </c>
      <c r="F54" s="2">
        <f t="shared" si="3"/>
        <v>123.11229332037605</v>
      </c>
      <c r="G54" s="2">
        <f t="shared" si="3"/>
        <v>16255394.204229763</v>
      </c>
    </row>
    <row r="55" spans="1:7" x14ac:dyDescent="0.3">
      <c r="A55" s="4">
        <v>113.09279632568359</v>
      </c>
      <c r="B55" s="6">
        <v>24010.6</v>
      </c>
      <c r="C55" s="4">
        <f t="shared" si="4"/>
        <v>-6.3334715937224928</v>
      </c>
      <c r="D55" s="6">
        <f t="shared" si="5"/>
        <v>5511.697887323935</v>
      </c>
      <c r="E55" s="2">
        <f t="shared" si="2"/>
        <v>-34908.182002546419</v>
      </c>
      <c r="F55" s="2">
        <f t="shared" si="3"/>
        <v>40.112862428489734</v>
      </c>
      <c r="G55" s="2">
        <f t="shared" si="3"/>
        <v>30378813.60113113</v>
      </c>
    </row>
    <row r="56" spans="1:7" x14ac:dyDescent="0.3">
      <c r="A56" s="4">
        <v>92.394874572753906</v>
      </c>
      <c r="B56" s="6">
        <v>24951.15</v>
      </c>
      <c r="C56" s="4">
        <f t="shared" si="4"/>
        <v>-27.03139334665218</v>
      </c>
      <c r="D56" s="6">
        <f t="shared" si="5"/>
        <v>6452.2478873239379</v>
      </c>
      <c r="E56" s="2">
        <f t="shared" si="2"/>
        <v>-174413.25061235888</v>
      </c>
      <c r="F56" s="2">
        <f t="shared" si="3"/>
        <v>730.69622626143178</v>
      </c>
      <c r="G56" s="2">
        <f t="shared" si="3"/>
        <v>41631502.799476221</v>
      </c>
    </row>
    <row r="57" spans="1:7" x14ac:dyDescent="0.3">
      <c r="A57" s="4">
        <v>140.97506713867188</v>
      </c>
      <c r="B57" s="6">
        <v>25235.9</v>
      </c>
      <c r="C57" s="4">
        <f t="shared" si="4"/>
        <v>21.548799219265788</v>
      </c>
      <c r="D57" s="6">
        <f t="shared" si="5"/>
        <v>6736.9978873239379</v>
      </c>
      <c r="E57" s="2">
        <f t="shared" si="2"/>
        <v>145174.21481456133</v>
      </c>
      <c r="F57" s="2">
        <f t="shared" si="3"/>
        <v>464.35074779222987</v>
      </c>
      <c r="G57" s="2">
        <f t="shared" si="3"/>
        <v>45387140.533807203</v>
      </c>
    </row>
    <row r="58" spans="1:7" x14ac:dyDescent="0.3">
      <c r="A58" s="4">
        <v>130.35877990722656</v>
      </c>
      <c r="B58" s="6">
        <v>25810.85</v>
      </c>
      <c r="C58" s="4">
        <f t="shared" si="4"/>
        <v>10.932511987820476</v>
      </c>
      <c r="D58" s="6">
        <f t="shared" si="5"/>
        <v>7311.947887323935</v>
      </c>
      <c r="E58" s="2">
        <f t="shared" si="2"/>
        <v>79937.957932487523</v>
      </c>
      <c r="F58" s="2">
        <f t="shared" si="3"/>
        <v>119.51981836383841</v>
      </c>
      <c r="G58" s="2">
        <f t="shared" si="3"/>
        <v>53464581.906940959</v>
      </c>
    </row>
    <row r="59" spans="1:7" x14ac:dyDescent="0.3">
      <c r="A59" s="4">
        <v>130.689208984375</v>
      </c>
      <c r="B59" s="6">
        <v>24205.35</v>
      </c>
      <c r="C59" s="4">
        <f t="shared" si="4"/>
        <v>11.262941064968913</v>
      </c>
      <c r="D59" s="6">
        <f t="shared" si="5"/>
        <v>5706.447887323935</v>
      </c>
      <c r="E59" s="2">
        <f t="shared" si="2"/>
        <v>64271.386245245849</v>
      </c>
      <c r="F59" s="2">
        <f t="shared" si="3"/>
        <v>126.85384143296308</v>
      </c>
      <c r="G59" s="2">
        <f t="shared" si="3"/>
        <v>32563547.490743801</v>
      </c>
    </row>
    <row r="60" spans="1:7" x14ac:dyDescent="0.3">
      <c r="A60" s="4">
        <v>128.90164184570313</v>
      </c>
      <c r="B60" s="6">
        <v>24131.1</v>
      </c>
      <c r="C60" s="4">
        <f t="shared" si="4"/>
        <v>9.4753739262970385</v>
      </c>
      <c r="D60" s="6">
        <f t="shared" si="5"/>
        <v>5632.197887323935</v>
      </c>
      <c r="E60" s="2">
        <f t="shared" si="2"/>
        <v>53367.18100929448</v>
      </c>
      <c r="F60" s="2">
        <f t="shared" si="3"/>
        <v>89.78271104314976</v>
      </c>
      <c r="G60" s="2">
        <f t="shared" si="3"/>
        <v>31721653.041976199</v>
      </c>
    </row>
    <row r="61" spans="1:7" x14ac:dyDescent="0.3">
      <c r="A61" s="4">
        <v>142.36643981933594</v>
      </c>
      <c r="B61" s="6">
        <v>23644.799999999999</v>
      </c>
      <c r="C61" s="4">
        <f t="shared" si="4"/>
        <v>22.940171899929851</v>
      </c>
      <c r="D61" s="6">
        <f t="shared" si="5"/>
        <v>5145.8978873239357</v>
      </c>
      <c r="E61" s="2">
        <f t="shared" si="2"/>
        <v>118047.78211469694</v>
      </c>
      <c r="F61" s="2">
        <f t="shared" si="3"/>
        <v>526.25148679833114</v>
      </c>
      <c r="G61" s="2">
        <f t="shared" si="3"/>
        <v>26480265.066764943</v>
      </c>
    </row>
    <row r="62" spans="1:7" x14ac:dyDescent="0.3">
      <c r="A62" s="4">
        <v>112.33326721191406</v>
      </c>
      <c r="B62" s="6">
        <v>23508.400000000001</v>
      </c>
      <c r="C62" s="4">
        <f t="shared" si="4"/>
        <v>-7.093000707492024</v>
      </c>
      <c r="D62" s="6">
        <f t="shared" si="5"/>
        <v>5009.4978873239379</v>
      </c>
      <c r="E62" s="2">
        <f t="shared" si="2"/>
        <v>-35532.372058968489</v>
      </c>
      <c r="F62" s="2">
        <f t="shared" si="3"/>
        <v>50.310659036482356</v>
      </c>
      <c r="G62" s="2">
        <f t="shared" si="3"/>
        <v>25095069.083102997</v>
      </c>
    </row>
    <row r="63" spans="1:7" x14ac:dyDescent="0.3">
      <c r="A63" s="4">
        <v>136.42637634277344</v>
      </c>
      <c r="B63" s="6">
        <v>22124.7</v>
      </c>
      <c r="C63" s="4">
        <f t="shared" si="4"/>
        <v>17.000108423367351</v>
      </c>
      <c r="D63" s="6">
        <f t="shared" si="5"/>
        <v>3625.7978873239372</v>
      </c>
      <c r="E63" s="2">
        <f t="shared" si="2"/>
        <v>61638.957205723207</v>
      </c>
      <c r="F63" s="2">
        <f t="shared" si="3"/>
        <v>289.00368640624555</v>
      </c>
      <c r="G63" s="2">
        <f t="shared" si="3"/>
        <v>13146410.319722727</v>
      </c>
    </row>
    <row r="64" spans="1:7" x14ac:dyDescent="0.3">
      <c r="A64" s="4">
        <v>175.44340515136719</v>
      </c>
      <c r="B64" s="6">
        <v>23519.35</v>
      </c>
      <c r="C64" s="4">
        <f t="shared" si="4"/>
        <v>56.017137231961101</v>
      </c>
      <c r="D64" s="6">
        <f t="shared" si="5"/>
        <v>5020.447887323935</v>
      </c>
      <c r="E64" s="2">
        <f t="shared" si="2"/>
        <v>281231.11827013403</v>
      </c>
      <c r="F64" s="2">
        <f t="shared" si="3"/>
        <v>3137.9196636643628</v>
      </c>
      <c r="G64" s="2">
        <f t="shared" si="3"/>
        <v>25204896.989335362</v>
      </c>
    </row>
    <row r="65" spans="1:7" x14ac:dyDescent="0.3">
      <c r="A65" s="4">
        <v>139.71894836425781</v>
      </c>
      <c r="B65" s="6">
        <v>24334.2</v>
      </c>
      <c r="C65" s="4">
        <f t="shared" si="4"/>
        <v>20.292680444851726</v>
      </c>
      <c r="D65" s="6">
        <f t="shared" si="5"/>
        <v>5835.2978873239372</v>
      </c>
      <c r="E65" s="2">
        <f t="shared" si="2"/>
        <v>118413.83532798305</v>
      </c>
      <c r="F65" s="2">
        <f t="shared" si="3"/>
        <v>411.79287963686767</v>
      </c>
      <c r="G65" s="2">
        <f t="shared" si="3"/>
        <v>34050701.433807202</v>
      </c>
    </row>
    <row r="66" spans="1:7" x14ac:dyDescent="0.3">
      <c r="A66" s="4">
        <v>165.81121826171875</v>
      </c>
      <c r="B66" s="6">
        <v>24750.7</v>
      </c>
      <c r="C66" s="4">
        <f t="shared" ref="C66:C72" si="6">A66-$A$77</f>
        <v>46.384950342312663</v>
      </c>
      <c r="D66" s="6">
        <f t="shared" ref="D66:D72" si="7">B66-$B$77</f>
        <v>6251.7978873239372</v>
      </c>
      <c r="E66" s="2">
        <f t="shared" si="2"/>
        <v>289989.33455369604</v>
      </c>
      <c r="F66" s="2">
        <f t="shared" si="3"/>
        <v>2151.5636182588119</v>
      </c>
      <c r="G66" s="2">
        <f t="shared" si="3"/>
        <v>39084976.823948041</v>
      </c>
    </row>
    <row r="67" spans="1:7" x14ac:dyDescent="0.3">
      <c r="A67" s="4">
        <v>222.19857788085938</v>
      </c>
      <c r="B67" s="6">
        <v>25517.05</v>
      </c>
      <c r="C67" s="4">
        <f t="shared" si="6"/>
        <v>102.77230996145329</v>
      </c>
      <c r="D67" s="6">
        <f t="shared" si="7"/>
        <v>7018.1478873239357</v>
      </c>
      <c r="E67" s="2">
        <f t="shared" ref="E67:E72" si="8">C67*D67</f>
        <v>721271.27003137406</v>
      </c>
      <c r="F67" s="2">
        <f t="shared" ref="F67:G72" si="9">C67*C67</f>
        <v>10562.147694813031</v>
      </c>
      <c r="G67" s="2">
        <f t="shared" si="9"/>
        <v>49254399.768349424</v>
      </c>
    </row>
    <row r="68" spans="1:7" x14ac:dyDescent="0.3">
      <c r="A68" s="4">
        <v>134.79460144042969</v>
      </c>
      <c r="B68" s="6">
        <v>24768.35</v>
      </c>
      <c r="C68" s="4">
        <f t="shared" si="6"/>
        <v>15.368333521023601</v>
      </c>
      <c r="D68" s="6">
        <f t="shared" si="7"/>
        <v>6269.447887323935</v>
      </c>
      <c r="E68" s="2">
        <f t="shared" si="8"/>
        <v>96350.96612507102</v>
      </c>
      <c r="F68" s="2">
        <f t="shared" si="9"/>
        <v>236.18567521341768</v>
      </c>
      <c r="G68" s="2">
        <f t="shared" si="9"/>
        <v>39305976.811870553</v>
      </c>
    </row>
    <row r="69" spans="1:7" x14ac:dyDescent="0.3">
      <c r="A69" s="4">
        <v>136.74961853027344</v>
      </c>
      <c r="B69" s="6">
        <v>24426.85</v>
      </c>
      <c r="C69" s="4">
        <f t="shared" si="6"/>
        <v>17.323350610867351</v>
      </c>
      <c r="D69" s="6">
        <f t="shared" si="7"/>
        <v>5927.947887323935</v>
      </c>
      <c r="E69" s="2">
        <f t="shared" si="8"/>
        <v>102691.91965506291</v>
      </c>
      <c r="F69" s="2">
        <f t="shared" si="9"/>
        <v>300.0984763870382</v>
      </c>
      <c r="G69" s="2">
        <f t="shared" si="9"/>
        <v>35140566.154828303</v>
      </c>
    </row>
    <row r="70" spans="1:7" x14ac:dyDescent="0.3">
      <c r="A70" s="4">
        <v>124.10614776611328</v>
      </c>
      <c r="B70" s="6">
        <v>24611.1</v>
      </c>
      <c r="C70" s="4">
        <f t="shared" si="6"/>
        <v>4.6798798467071947</v>
      </c>
      <c r="D70" s="6">
        <f t="shared" si="7"/>
        <v>6112.197887323935</v>
      </c>
      <c r="E70" s="2">
        <f t="shared" si="8"/>
        <v>28604.351711973577</v>
      </c>
      <c r="F70" s="2">
        <f t="shared" si="9"/>
        <v>21.901275379616155</v>
      </c>
      <c r="G70" s="2">
        <f t="shared" si="9"/>
        <v>37358963.013807178</v>
      </c>
    </row>
    <row r="71" spans="1:7" x14ac:dyDescent="0.3">
      <c r="A71" s="4">
        <v>154.43557739257813</v>
      </c>
      <c r="B71" s="6">
        <v>25722.1</v>
      </c>
      <c r="C71" s="4">
        <f t="shared" si="6"/>
        <v>35.009309473172038</v>
      </c>
      <c r="D71" s="6">
        <f t="shared" si="7"/>
        <v>7223.197887323935</v>
      </c>
      <c r="E71" s="2">
        <f t="shared" si="8"/>
        <v>252879.17022328608</v>
      </c>
      <c r="F71" s="2">
        <f t="shared" si="9"/>
        <v>1225.6517497883335</v>
      </c>
      <c r="G71" s="2">
        <f t="shared" si="9"/>
        <v>52174587.719440959</v>
      </c>
    </row>
    <row r="72" spans="1:7" x14ac:dyDescent="0.3">
      <c r="A72" s="4">
        <v>99.912399291992188</v>
      </c>
      <c r="B72" s="6">
        <v>26202.95</v>
      </c>
      <c r="C72" s="4">
        <f t="shared" si="6"/>
        <v>-19.513868627413899</v>
      </c>
      <c r="D72" s="6">
        <f t="shared" si="7"/>
        <v>7704.0478873239372</v>
      </c>
      <c r="E72" s="2">
        <f t="shared" si="8"/>
        <v>-150335.77837254491</v>
      </c>
      <c r="F72" s="2">
        <f t="shared" si="9"/>
        <v>380.79106880796843</v>
      </c>
      <c r="G72" s="2">
        <f t="shared" si="9"/>
        <v>59352353.850180417</v>
      </c>
    </row>
    <row r="73" spans="1:7" ht="15" thickBot="1" x14ac:dyDescent="0.35">
      <c r="A73" s="11">
        <f>SUM(A2:A72)</f>
        <v>8479.265022277832</v>
      </c>
      <c r="B73" s="12">
        <f>SUM(B2:B72)</f>
        <v>1313422.0500000005</v>
      </c>
      <c r="C73" s="11">
        <f t="shared" ref="C73:G73" si="10">SUM(C2:C72)</f>
        <v>-1.1368683772161603E-13</v>
      </c>
      <c r="D73" s="11">
        <f t="shared" si="10"/>
        <v>-5.6388671509921551E-10</v>
      </c>
      <c r="E73" s="11">
        <f t="shared" si="10"/>
        <v>7013311.8622690709</v>
      </c>
      <c r="F73" s="11">
        <f t="shared" si="10"/>
        <v>135636.67315368389</v>
      </c>
      <c r="G73" s="11">
        <f t="shared" si="10"/>
        <v>1556388856.6121829</v>
      </c>
    </row>
    <row r="74" spans="1:7" ht="15" thickTop="1" x14ac:dyDescent="0.3"/>
    <row r="75" spans="1:7" x14ac:dyDescent="0.3">
      <c r="A75" s="13" t="s">
        <v>18</v>
      </c>
      <c r="B75" s="13"/>
    </row>
    <row r="76" spans="1:7" x14ac:dyDescent="0.3">
      <c r="A76" s="2" t="s">
        <v>2</v>
      </c>
      <c r="B76" s="6" t="s">
        <v>4</v>
      </c>
    </row>
    <row r="77" spans="1:7" x14ac:dyDescent="0.3">
      <c r="A77" s="4">
        <f>SUM(A2:A72)/71</f>
        <v>119.42626791940609</v>
      </c>
      <c r="B77" s="6">
        <f>B73/71</f>
        <v>18498.902112676064</v>
      </c>
      <c r="F77" s="6"/>
      <c r="G77" s="6"/>
    </row>
    <row r="78" spans="1:7" x14ac:dyDescent="0.3">
      <c r="A78" s="9" t="s">
        <v>27</v>
      </c>
      <c r="B78" s="10"/>
      <c r="D78" s="4"/>
    </row>
    <row r="79" spans="1:7" x14ac:dyDescent="0.3">
      <c r="A79" s="2">
        <f>E73/SQRT(F73*G73)</f>
        <v>0.48269803439842718</v>
      </c>
      <c r="B79" s="15" t="s">
        <v>20</v>
      </c>
    </row>
    <row r="80" spans="1:7" x14ac:dyDescent="0.3">
      <c r="A80" s="2">
        <f>CORREL(A2:A72,B2:B72)</f>
        <v>0.48269803439842718</v>
      </c>
      <c r="B80" s="2" t="s">
        <v>21</v>
      </c>
    </row>
    <row r="82" spans="1:6" x14ac:dyDescent="0.3">
      <c r="A82" s="13"/>
      <c r="B82" s="13"/>
    </row>
    <row r="85" spans="1:6" x14ac:dyDescent="0.3">
      <c r="A85" s="14"/>
      <c r="B85" s="14"/>
    </row>
    <row r="89" spans="1:6" x14ac:dyDescent="0.3">
      <c r="A89" s="13"/>
      <c r="B89" s="13"/>
    </row>
    <row r="90" spans="1:6" x14ac:dyDescent="0.3">
      <c r="A90" s="13" t="s">
        <v>32</v>
      </c>
      <c r="B90" s="13"/>
      <c r="C90" s="13"/>
      <c r="D90" s="13"/>
      <c r="E90" s="13"/>
      <c r="F90" s="13"/>
    </row>
    <row r="91" spans="1:6" x14ac:dyDescent="0.3">
      <c r="A91" s="13"/>
      <c r="B91" s="13"/>
      <c r="C91" s="13"/>
      <c r="D91" s="13"/>
      <c r="E91" s="13"/>
      <c r="F91" s="13"/>
    </row>
  </sheetData>
  <mergeCells count="6">
    <mergeCell ref="A75:B75"/>
    <mergeCell ref="A82:B82"/>
    <mergeCell ref="A85:B85"/>
    <mergeCell ref="A89:B89"/>
    <mergeCell ref="A91:F91"/>
    <mergeCell ref="A90:F9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1D26-FBFD-4E7F-9014-39BDC808BF3B}">
  <dimension ref="A1:G91"/>
  <sheetViews>
    <sheetView workbookViewId="0">
      <selection activeCell="B86" sqref="B86"/>
    </sheetView>
  </sheetViews>
  <sheetFormatPr defaultRowHeight="14.4" x14ac:dyDescent="0.3"/>
  <cols>
    <col min="1" max="1" width="8.88671875" style="2"/>
    <col min="2" max="2" width="16.77734375" style="2" bestFit="1" customWidth="1"/>
    <col min="3" max="3" width="12.88671875" style="2" bestFit="1" customWidth="1"/>
    <col min="4" max="4" width="13.44140625" style="2" bestFit="1" customWidth="1"/>
    <col min="5" max="5" width="26.88671875" style="2" bestFit="1" customWidth="1"/>
    <col min="6" max="6" width="20.5546875" style="2" bestFit="1" customWidth="1"/>
    <col min="7" max="7" width="21" style="2" bestFit="1" customWidth="1"/>
    <col min="8" max="16384" width="8.88671875" style="2"/>
  </cols>
  <sheetData>
    <row r="1" spans="1:7" x14ac:dyDescent="0.3">
      <c r="A1" s="1" t="s">
        <v>2</v>
      </c>
      <c r="B1" s="5" t="s">
        <v>8</v>
      </c>
      <c r="C1" s="5" t="s">
        <v>22</v>
      </c>
      <c r="D1" s="5" t="s">
        <v>33</v>
      </c>
      <c r="E1" s="1" t="s">
        <v>34</v>
      </c>
      <c r="F1" s="1" t="s">
        <v>25</v>
      </c>
      <c r="G1" s="1" t="s">
        <v>35</v>
      </c>
    </row>
    <row r="2" spans="1:7" x14ac:dyDescent="0.3">
      <c r="A2" s="4">
        <v>138.42094421386719</v>
      </c>
      <c r="B2" s="6">
        <v>71.540000000000006</v>
      </c>
      <c r="C2" s="4">
        <f t="shared" ref="C2:C33" si="0">A2-$A$77</f>
        <v>18.994676294461101</v>
      </c>
      <c r="D2" s="6">
        <f t="shared" ref="D2:D33" si="1">B2-$B$77</f>
        <v>-8.3994084507042004</v>
      </c>
      <c r="E2" s="2">
        <f>C2*D2</f>
        <v>-159.54404458608732</v>
      </c>
      <c r="F2" s="2">
        <f>C2*C2</f>
        <v>360.79772753136251</v>
      </c>
      <c r="G2" s="2">
        <f>D2*D2</f>
        <v>70.550062321761132</v>
      </c>
    </row>
    <row r="3" spans="1:7" x14ac:dyDescent="0.3">
      <c r="A3" s="4">
        <v>75.955558776855469</v>
      </c>
      <c r="B3" s="6">
        <v>72.534000000000006</v>
      </c>
      <c r="C3" s="4">
        <f t="shared" si="0"/>
        <v>-43.470709142550618</v>
      </c>
      <c r="D3" s="6">
        <f t="shared" si="1"/>
        <v>-7.4054084507042006</v>
      </c>
      <c r="E3" s="2">
        <f t="shared" ref="E3:E66" si="2">C3*D3</f>
        <v>321.91835684234871</v>
      </c>
      <c r="F3" s="2">
        <f t="shared" ref="F3:G66" si="3">C3*C3</f>
        <v>1889.7025533562339</v>
      </c>
      <c r="G3" s="2">
        <f t="shared" si="3"/>
        <v>54.840074321761186</v>
      </c>
    </row>
    <row r="4" spans="1:7" x14ac:dyDescent="0.3">
      <c r="A4" s="4">
        <v>81.540031433105497</v>
      </c>
      <c r="B4" s="6">
        <v>75.332999999999998</v>
      </c>
      <c r="C4" s="4">
        <f t="shared" si="0"/>
        <v>-37.886236486300589</v>
      </c>
      <c r="D4" s="6">
        <f t="shared" si="1"/>
        <v>-4.6064084507042082</v>
      </c>
      <c r="E4" s="2">
        <f t="shared" si="2"/>
        <v>174.51947991587315</v>
      </c>
      <c r="F4" s="2">
        <f t="shared" si="3"/>
        <v>1435.366915095894</v>
      </c>
      <c r="G4" s="2">
        <f t="shared" si="3"/>
        <v>21.218998814719143</v>
      </c>
    </row>
    <row r="5" spans="1:7" x14ac:dyDescent="0.3">
      <c r="A5" s="4">
        <v>69.339401245117188</v>
      </c>
      <c r="B5" s="6">
        <v>75.076999999999998</v>
      </c>
      <c r="C5" s="4">
        <f t="shared" si="0"/>
        <v>-50.086866674288899</v>
      </c>
      <c r="D5" s="6">
        <f t="shared" si="1"/>
        <v>-4.8624084507042085</v>
      </c>
      <c r="E5" s="2">
        <f t="shared" si="2"/>
        <v>243.54280378635733</v>
      </c>
      <c r="F5" s="2">
        <f t="shared" si="3"/>
        <v>2508.6942132479921</v>
      </c>
      <c r="G5" s="2">
        <f t="shared" si="3"/>
        <v>23.6430159414797</v>
      </c>
    </row>
    <row r="6" spans="1:7" x14ac:dyDescent="0.3">
      <c r="A6" s="4">
        <v>68.507217407226563</v>
      </c>
      <c r="B6" s="6">
        <v>75.59</v>
      </c>
      <c r="C6" s="4">
        <f t="shared" si="0"/>
        <v>-50.919050512179524</v>
      </c>
      <c r="D6" s="6">
        <f t="shared" si="1"/>
        <v>-4.3494084507042032</v>
      </c>
      <c r="E6" s="2">
        <f t="shared" si="2"/>
        <v>221.46774859950781</v>
      </c>
      <c r="F6" s="2">
        <f t="shared" si="3"/>
        <v>2592.7497050618899</v>
      </c>
      <c r="G6" s="2">
        <f t="shared" si="3"/>
        <v>18.917353871057138</v>
      </c>
    </row>
    <row r="7" spans="1:7" x14ac:dyDescent="0.3">
      <c r="A7" s="4">
        <v>71.227859497070313</v>
      </c>
      <c r="B7" s="6">
        <v>75.540000000000006</v>
      </c>
      <c r="C7" s="4">
        <f t="shared" si="0"/>
        <v>-48.198408422335774</v>
      </c>
      <c r="D7" s="6">
        <f t="shared" si="1"/>
        <v>-4.3994084507042004</v>
      </c>
      <c r="E7" s="2">
        <f t="shared" si="2"/>
        <v>212.04448532371651</v>
      </c>
      <c r="F7" s="2">
        <f t="shared" si="3"/>
        <v>2323.0865744462881</v>
      </c>
      <c r="G7" s="2">
        <f t="shared" si="3"/>
        <v>19.354794716127532</v>
      </c>
    </row>
    <row r="8" spans="1:7" x14ac:dyDescent="0.3">
      <c r="A8" s="4">
        <v>66.473281860351563</v>
      </c>
      <c r="B8" s="6">
        <v>74.915999999999997</v>
      </c>
      <c r="C8" s="4">
        <f t="shared" si="0"/>
        <v>-52.952986059054524</v>
      </c>
      <c r="D8" s="6">
        <f t="shared" si="1"/>
        <v>-5.0234084507042098</v>
      </c>
      <c r="E8" s="2">
        <f t="shared" si="2"/>
        <v>266.00447765907671</v>
      </c>
      <c r="F8" s="2">
        <f t="shared" si="3"/>
        <v>2804.0187325704228</v>
      </c>
      <c r="G8" s="2">
        <f t="shared" si="3"/>
        <v>25.23463246260647</v>
      </c>
    </row>
    <row r="9" spans="1:7" x14ac:dyDescent="0.3">
      <c r="A9" s="4">
        <v>65.466049194335938</v>
      </c>
      <c r="B9" s="6">
        <v>73.254000000000005</v>
      </c>
      <c r="C9" s="4">
        <f t="shared" si="0"/>
        <v>-53.960218725070149</v>
      </c>
      <c r="D9" s="6">
        <f t="shared" si="1"/>
        <v>-6.6854084507042018</v>
      </c>
      <c r="E9" s="2">
        <f t="shared" si="2"/>
        <v>360.74610226643108</v>
      </c>
      <c r="F9" s="2">
        <f t="shared" si="3"/>
        <v>2911.705204857411</v>
      </c>
      <c r="G9" s="2">
        <f t="shared" si="3"/>
        <v>44.694686152747153</v>
      </c>
    </row>
    <row r="10" spans="1:7" x14ac:dyDescent="0.3">
      <c r="A10" s="4">
        <v>80.37738037109375</v>
      </c>
      <c r="B10" s="6">
        <v>73.56</v>
      </c>
      <c r="C10" s="4">
        <f t="shared" si="0"/>
        <v>-39.048887548312337</v>
      </c>
      <c r="D10" s="6">
        <f t="shared" si="1"/>
        <v>-6.3794084507042044</v>
      </c>
      <c r="E10" s="2">
        <f t="shared" si="2"/>
        <v>249.10880321630191</v>
      </c>
      <c r="F10" s="2">
        <f t="shared" si="3"/>
        <v>1524.8156187607422</v>
      </c>
      <c r="G10" s="2">
        <f t="shared" si="3"/>
        <v>40.696852180916217</v>
      </c>
    </row>
    <row r="11" spans="1:7" x14ac:dyDescent="0.3">
      <c r="A11" s="4">
        <v>76.083168029785156</v>
      </c>
      <c r="B11" s="6">
        <v>74.554000000000002</v>
      </c>
      <c r="C11" s="4">
        <f t="shared" si="0"/>
        <v>-43.34309988962093</v>
      </c>
      <c r="D11" s="6">
        <f t="shared" si="1"/>
        <v>-5.3854084507042046</v>
      </c>
      <c r="E11" s="2">
        <f t="shared" si="2"/>
        <v>233.42029642528104</v>
      </c>
      <c r="F11" s="2">
        <f t="shared" si="3"/>
        <v>1878.624308041658</v>
      </c>
      <c r="G11" s="2">
        <f t="shared" si="3"/>
        <v>29.002624180916261</v>
      </c>
    </row>
    <row r="12" spans="1:7" x14ac:dyDescent="0.3">
      <c r="A12" s="4">
        <v>70.067466735839844</v>
      </c>
      <c r="B12" s="6">
        <v>73.989999999999995</v>
      </c>
      <c r="C12" s="4">
        <f t="shared" si="0"/>
        <v>-49.358801183566243</v>
      </c>
      <c r="D12" s="6">
        <f t="shared" si="1"/>
        <v>-5.9494084507042118</v>
      </c>
      <c r="E12" s="2">
        <f t="shared" si="2"/>
        <v>293.65566887813804</v>
      </c>
      <c r="F12" s="2">
        <f t="shared" si="3"/>
        <v>2436.2912542788204</v>
      </c>
      <c r="G12" s="2">
        <f t="shared" si="3"/>
        <v>35.395460913310693</v>
      </c>
    </row>
    <row r="13" spans="1:7" x14ac:dyDescent="0.3">
      <c r="A13" s="4">
        <v>64.067291259765625</v>
      </c>
      <c r="B13" s="6">
        <v>73.036000000000001</v>
      </c>
      <c r="C13" s="4">
        <f t="shared" si="0"/>
        <v>-55.358976659640462</v>
      </c>
      <c r="D13" s="6">
        <f t="shared" si="1"/>
        <v>-6.9034084507042053</v>
      </c>
      <c r="E13" s="2">
        <f t="shared" si="2"/>
        <v>382.16562729449885</v>
      </c>
      <c r="F13" s="2">
        <f t="shared" si="3"/>
        <v>3064.6162968026174</v>
      </c>
      <c r="G13" s="2">
        <f t="shared" si="3"/>
        <v>47.657048237254237</v>
      </c>
    </row>
    <row r="14" spans="1:7" x14ac:dyDescent="0.3">
      <c r="A14" s="4">
        <v>77.418701171875</v>
      </c>
      <c r="B14" s="6">
        <v>72.876999999999995</v>
      </c>
      <c r="C14" s="4">
        <f t="shared" si="0"/>
        <v>-42.007566747531087</v>
      </c>
      <c r="D14" s="6">
        <f t="shared" si="1"/>
        <v>-7.0624084507042113</v>
      </c>
      <c r="E14" s="2">
        <f t="shared" si="2"/>
        <v>296.67459439128476</v>
      </c>
      <c r="F14" s="2">
        <f t="shared" si="3"/>
        <v>1764.6356640482795</v>
      </c>
      <c r="G14" s="2">
        <f t="shared" si="3"/>
        <v>49.877613124578261</v>
      </c>
    </row>
    <row r="15" spans="1:7" x14ac:dyDescent="0.3">
      <c r="A15" s="4">
        <v>73.956802368164063</v>
      </c>
      <c r="B15" s="6">
        <v>73.92</v>
      </c>
      <c r="C15" s="4">
        <f t="shared" si="0"/>
        <v>-45.469465551242024</v>
      </c>
      <c r="D15" s="6">
        <f t="shared" si="1"/>
        <v>-6.0194084507042049</v>
      </c>
      <c r="E15" s="2">
        <f t="shared" si="2"/>
        <v>273.69928518814999</v>
      </c>
      <c r="F15" s="2">
        <f t="shared" si="3"/>
        <v>2067.4722975155851</v>
      </c>
      <c r="G15" s="2">
        <f t="shared" si="3"/>
        <v>36.233278096409194</v>
      </c>
    </row>
    <row r="16" spans="1:7" x14ac:dyDescent="0.3">
      <c r="A16" s="4">
        <v>78.618766784667969</v>
      </c>
      <c r="B16" s="6">
        <v>73.137</v>
      </c>
      <c r="C16" s="4">
        <f t="shared" si="0"/>
        <v>-40.807501134738118</v>
      </c>
      <c r="D16" s="6">
        <f t="shared" si="1"/>
        <v>-6.8024084507042062</v>
      </c>
      <c r="E16" s="2">
        <f t="shared" si="2"/>
        <v>277.58929057106405</v>
      </c>
      <c r="F16" s="2">
        <f t="shared" si="3"/>
        <v>1665.2521488616528</v>
      </c>
      <c r="G16" s="2">
        <f t="shared" si="3"/>
        <v>46.272760730211999</v>
      </c>
    </row>
    <row r="17" spans="1:7" x14ac:dyDescent="0.3">
      <c r="A17" s="4">
        <v>88.166221618652344</v>
      </c>
      <c r="B17" s="6">
        <v>74.05</v>
      </c>
      <c r="C17" s="4">
        <f t="shared" si="0"/>
        <v>-31.260046300753743</v>
      </c>
      <c r="D17" s="6">
        <f t="shared" si="1"/>
        <v>-5.8894084507042095</v>
      </c>
      <c r="E17" s="2">
        <f t="shared" si="2"/>
        <v>184.10318085306395</v>
      </c>
      <c r="F17" s="2">
        <f t="shared" si="3"/>
        <v>977.19049472526774</v>
      </c>
      <c r="G17" s="2">
        <f t="shared" si="3"/>
        <v>34.685131899226157</v>
      </c>
    </row>
    <row r="18" spans="1:7" x14ac:dyDescent="0.3">
      <c r="A18" s="4">
        <v>93.007133483886719</v>
      </c>
      <c r="B18" s="6">
        <v>72.510999999999996</v>
      </c>
      <c r="C18" s="4">
        <f t="shared" si="0"/>
        <v>-26.419134435519368</v>
      </c>
      <c r="D18" s="6">
        <f t="shared" si="1"/>
        <v>-7.428408450704211</v>
      </c>
      <c r="E18" s="2">
        <f t="shared" si="2"/>
        <v>196.25212150110269</v>
      </c>
      <c r="F18" s="2">
        <f t="shared" si="3"/>
        <v>697.97066432204531</v>
      </c>
      <c r="G18" s="2">
        <f t="shared" si="3"/>
        <v>55.181252110493737</v>
      </c>
    </row>
    <row r="19" spans="1:7" x14ac:dyDescent="0.3">
      <c r="A19" s="4">
        <v>74.127120971679688</v>
      </c>
      <c r="B19" s="6">
        <v>74.36</v>
      </c>
      <c r="C19" s="4">
        <f t="shared" si="0"/>
        <v>-45.299146947726399</v>
      </c>
      <c r="D19" s="6">
        <f t="shared" si="1"/>
        <v>-5.5794084507042072</v>
      </c>
      <c r="E19" s="2">
        <f t="shared" si="2"/>
        <v>252.74244328983636</v>
      </c>
      <c r="F19" s="2">
        <f t="shared" si="3"/>
        <v>2052.0127141917101</v>
      </c>
      <c r="G19" s="2">
        <f t="shared" si="3"/>
        <v>31.129798659789522</v>
      </c>
    </row>
    <row r="20" spans="1:7" x14ac:dyDescent="0.3">
      <c r="A20" s="4">
        <v>58.420768737792969</v>
      </c>
      <c r="B20" s="6">
        <v>74.337000000000003</v>
      </c>
      <c r="C20" s="4">
        <f t="shared" si="0"/>
        <v>-61.005499181613118</v>
      </c>
      <c r="D20" s="6">
        <f t="shared" si="1"/>
        <v>-5.6024084507042033</v>
      </c>
      <c r="E20" s="2">
        <f t="shared" si="2"/>
        <v>341.77772415449772</v>
      </c>
      <c r="F20" s="2">
        <f t="shared" si="3"/>
        <v>3721.6709303977987</v>
      </c>
      <c r="G20" s="2">
        <f t="shared" si="3"/>
        <v>31.386980448521872</v>
      </c>
    </row>
    <row r="21" spans="1:7" x14ac:dyDescent="0.3">
      <c r="A21" s="4">
        <v>89.486549377441406</v>
      </c>
      <c r="B21" s="6">
        <v>72.947000000000003</v>
      </c>
      <c r="C21" s="4">
        <f t="shared" si="0"/>
        <v>-29.93971854196468</v>
      </c>
      <c r="D21" s="6">
        <f t="shared" si="1"/>
        <v>-6.9924084507042039</v>
      </c>
      <c r="E21" s="2">
        <f t="shared" si="2"/>
        <v>209.35074094453918</v>
      </c>
      <c r="F21" s="2">
        <f t="shared" si="3"/>
        <v>896.38674637206373</v>
      </c>
      <c r="G21" s="2">
        <f t="shared" si="3"/>
        <v>48.893775941479568</v>
      </c>
    </row>
    <row r="22" spans="1:7" x14ac:dyDescent="0.3">
      <c r="A22" s="4">
        <v>80.696968078613281</v>
      </c>
      <c r="B22" s="6">
        <v>74.164000000000001</v>
      </c>
      <c r="C22" s="4">
        <f t="shared" si="0"/>
        <v>-38.729299840792805</v>
      </c>
      <c r="D22" s="6">
        <f t="shared" si="1"/>
        <v>-5.7754084507042052</v>
      </c>
      <c r="E22" s="2">
        <f t="shared" si="2"/>
        <v>223.6775255903718</v>
      </c>
      <c r="F22" s="2">
        <f t="shared" si="3"/>
        <v>1499.9586661580336</v>
      </c>
      <c r="G22" s="2">
        <f t="shared" si="3"/>
        <v>33.355342772465548</v>
      </c>
    </row>
    <row r="23" spans="1:7" x14ac:dyDescent="0.3">
      <c r="A23" s="4">
        <v>79.02923583984375</v>
      </c>
      <c r="B23" s="6">
        <v>74.915000000000006</v>
      </c>
      <c r="C23" s="4">
        <f t="shared" si="0"/>
        <v>-40.397032079562337</v>
      </c>
      <c r="D23" s="6">
        <f t="shared" si="1"/>
        <v>-5.0244084507042004</v>
      </c>
      <c r="E23" s="2">
        <f t="shared" si="2"/>
        <v>202.9711893639217</v>
      </c>
      <c r="F23" s="2">
        <f t="shared" si="3"/>
        <v>1631.9202008371885</v>
      </c>
      <c r="G23" s="2">
        <f t="shared" si="3"/>
        <v>25.244680279507783</v>
      </c>
    </row>
    <row r="24" spans="1:7" x14ac:dyDescent="0.3">
      <c r="A24" s="4">
        <v>86.569145202636719</v>
      </c>
      <c r="B24" s="6">
        <v>75.09</v>
      </c>
      <c r="C24" s="4">
        <f t="shared" si="0"/>
        <v>-32.857122716769368</v>
      </c>
      <c r="D24" s="6">
        <f t="shared" si="1"/>
        <v>-4.8494084507042032</v>
      </c>
      <c r="E24" s="2">
        <f t="shared" si="2"/>
        <v>159.33760856852643</v>
      </c>
      <c r="F24" s="2">
        <f t="shared" si="3"/>
        <v>1079.5905132248417</v>
      </c>
      <c r="G24" s="2">
        <f t="shared" si="3"/>
        <v>23.516762321761341</v>
      </c>
    </row>
    <row r="25" spans="1:7" x14ac:dyDescent="0.3">
      <c r="A25" s="4">
        <v>105.34542083740234</v>
      </c>
      <c r="B25" s="6">
        <v>74.466999999999999</v>
      </c>
      <c r="C25" s="4">
        <f t="shared" si="0"/>
        <v>-14.080847082003743</v>
      </c>
      <c r="D25" s="6">
        <f t="shared" si="1"/>
        <v>-5.4724084507042079</v>
      </c>
      <c r="E25" s="2">
        <f t="shared" si="2"/>
        <v>77.056146564630964</v>
      </c>
      <c r="F25" s="2">
        <f t="shared" si="3"/>
        <v>198.27025454677332</v>
      </c>
      <c r="G25" s="2">
        <f t="shared" si="3"/>
        <v>29.94725425133883</v>
      </c>
    </row>
    <row r="26" spans="1:7" x14ac:dyDescent="0.3">
      <c r="A26" s="4">
        <v>138.67498779296875</v>
      </c>
      <c r="B26" s="6">
        <v>74.528999999999996</v>
      </c>
      <c r="C26" s="4">
        <f t="shared" si="0"/>
        <v>19.248719873562663</v>
      </c>
      <c r="D26" s="6">
        <f t="shared" si="1"/>
        <v>-5.4104084507042103</v>
      </c>
      <c r="E26" s="2">
        <f t="shared" si="2"/>
        <v>-104.14343666916152</v>
      </c>
      <c r="F26" s="2">
        <f t="shared" si="3"/>
        <v>370.51321677088623</v>
      </c>
      <c r="G26" s="2">
        <f t="shared" si="3"/>
        <v>29.272519603451531</v>
      </c>
    </row>
    <row r="27" spans="1:7" x14ac:dyDescent="0.3">
      <c r="A27" s="4">
        <v>216.15901184082031</v>
      </c>
      <c r="B27" s="6">
        <v>75.492999999999995</v>
      </c>
      <c r="C27" s="4">
        <f t="shared" si="0"/>
        <v>96.732743921414226</v>
      </c>
      <c r="D27" s="6">
        <f t="shared" si="1"/>
        <v>-4.4464084507042116</v>
      </c>
      <c r="E27" s="2">
        <f t="shared" si="2"/>
        <v>-430.11329003198267</v>
      </c>
      <c r="F27" s="2">
        <f t="shared" si="3"/>
        <v>9357.2237465659</v>
      </c>
      <c r="G27" s="2">
        <f t="shared" si="3"/>
        <v>19.770548110493827</v>
      </c>
    </row>
    <row r="28" spans="1:7" x14ac:dyDescent="0.3">
      <c r="A28" s="4">
        <v>318.95492553710938</v>
      </c>
      <c r="B28" s="6">
        <v>75.900999999999996</v>
      </c>
      <c r="C28" s="4">
        <f t="shared" si="0"/>
        <v>199.52865761770329</v>
      </c>
      <c r="D28" s="6">
        <f t="shared" si="1"/>
        <v>-4.0384084507042104</v>
      </c>
      <c r="E28" s="2">
        <f t="shared" si="2"/>
        <v>-805.77821708099998</v>
      </c>
      <c r="F28" s="2">
        <f t="shared" si="3"/>
        <v>39811.685210722666</v>
      </c>
      <c r="G28" s="2">
        <f t="shared" si="3"/>
        <v>16.308742814719182</v>
      </c>
    </row>
    <row r="29" spans="1:7" x14ac:dyDescent="0.3">
      <c r="A29" s="4">
        <v>191.14309692382813</v>
      </c>
      <c r="B29" s="6">
        <v>76.52</v>
      </c>
      <c r="C29" s="4">
        <f t="shared" si="0"/>
        <v>71.716829004422038</v>
      </c>
      <c r="D29" s="6">
        <f t="shared" si="1"/>
        <v>-3.4194084507042106</v>
      </c>
      <c r="E29" s="2">
        <f t="shared" si="2"/>
        <v>-245.22913115542957</v>
      </c>
      <c r="F29" s="2">
        <f t="shared" si="3"/>
        <v>5143.3035624495105</v>
      </c>
      <c r="G29" s="2">
        <f t="shared" si="3"/>
        <v>11.69235415274737</v>
      </c>
    </row>
    <row r="30" spans="1:7" x14ac:dyDescent="0.3">
      <c r="A30" s="4">
        <v>142.25848388671875</v>
      </c>
      <c r="B30" s="6">
        <v>77.569000000000003</v>
      </c>
      <c r="C30" s="4">
        <f t="shared" si="0"/>
        <v>22.832215967312663</v>
      </c>
      <c r="D30" s="6">
        <f t="shared" si="1"/>
        <v>-2.370408450704204</v>
      </c>
      <c r="E30" s="2">
        <f t="shared" si="2"/>
        <v>-54.121677677221399</v>
      </c>
      <c r="F30" s="2">
        <f t="shared" si="3"/>
        <v>521.31008597800735</v>
      </c>
      <c r="G30" s="2">
        <f t="shared" si="3"/>
        <v>5.6188362231699047</v>
      </c>
    </row>
    <row r="31" spans="1:7" x14ac:dyDescent="0.3">
      <c r="A31" s="4">
        <v>130.70732116699219</v>
      </c>
      <c r="B31" s="6">
        <v>78.95</v>
      </c>
      <c r="C31" s="4">
        <f t="shared" si="0"/>
        <v>11.281053247586101</v>
      </c>
      <c r="D31" s="6">
        <f t="shared" si="1"/>
        <v>-0.9894084507042038</v>
      </c>
      <c r="E31" s="2">
        <f t="shared" si="2"/>
        <v>-11.161569416005792</v>
      </c>
      <c r="F31" s="2">
        <f t="shared" si="3"/>
        <v>127.26216237487291</v>
      </c>
      <c r="G31" s="2">
        <f t="shared" si="3"/>
        <v>0.97892908232489284</v>
      </c>
    </row>
    <row r="32" spans="1:7" x14ac:dyDescent="0.3">
      <c r="A32" s="4">
        <v>117.17676544189453</v>
      </c>
      <c r="B32" s="6">
        <v>79.335999999999999</v>
      </c>
      <c r="C32" s="4">
        <f t="shared" si="0"/>
        <v>-2.2495024775115553</v>
      </c>
      <c r="D32" s="6">
        <f t="shared" si="1"/>
        <v>-0.60340845070420812</v>
      </c>
      <c r="E32" s="2">
        <f t="shared" si="2"/>
        <v>1.3573688048105255</v>
      </c>
      <c r="F32" s="2">
        <f t="shared" si="3"/>
        <v>5.0602613963306258</v>
      </c>
      <c r="G32" s="2">
        <f t="shared" si="3"/>
        <v>0.36410175838125275</v>
      </c>
    </row>
    <row r="33" spans="1:7" x14ac:dyDescent="0.3">
      <c r="A33" s="4">
        <v>132.86322021484375</v>
      </c>
      <c r="B33" s="6">
        <v>79.491</v>
      </c>
      <c r="C33" s="4">
        <f t="shared" si="0"/>
        <v>13.436952295437663</v>
      </c>
      <c r="D33" s="6">
        <f t="shared" si="1"/>
        <v>-0.44840845070420698</v>
      </c>
      <c r="E33" s="2">
        <f t="shared" si="2"/>
        <v>-6.0252429609835403</v>
      </c>
      <c r="F33" s="2">
        <f t="shared" si="3"/>
        <v>180.55168698986751</v>
      </c>
      <c r="G33" s="2">
        <f t="shared" si="3"/>
        <v>0.20107013866294723</v>
      </c>
    </row>
    <row r="34" spans="1:7" x14ac:dyDescent="0.3">
      <c r="A34" s="4">
        <v>131.98587036132813</v>
      </c>
      <c r="B34" s="6">
        <v>81.509</v>
      </c>
      <c r="C34" s="4">
        <f t="shared" ref="C34:C65" si="4">A34-$A$77</f>
        <v>12.559602441922038</v>
      </c>
      <c r="D34" s="6">
        <f t="shared" ref="D34:D65" si="5">B34-$B$77</f>
        <v>1.5695915492957937</v>
      </c>
      <c r="E34" s="2">
        <f t="shared" si="2"/>
        <v>19.713445855355648</v>
      </c>
      <c r="F34" s="2">
        <f t="shared" si="3"/>
        <v>157.74361349913403</v>
      </c>
      <c r="G34" s="2">
        <f t="shared" si="3"/>
        <v>2.4636176316207701</v>
      </c>
    </row>
    <row r="35" spans="1:7" x14ac:dyDescent="0.3">
      <c r="A35" s="4">
        <v>143.16241455078125</v>
      </c>
      <c r="B35" s="6">
        <v>82.77</v>
      </c>
      <c r="C35" s="4">
        <f t="shared" si="4"/>
        <v>23.736146631375163</v>
      </c>
      <c r="D35" s="6">
        <f t="shared" si="5"/>
        <v>2.8305915492957894</v>
      </c>
      <c r="E35" s="2">
        <f t="shared" si="2"/>
        <v>67.187336067616258</v>
      </c>
      <c r="F35" s="2">
        <f t="shared" si="3"/>
        <v>563.40465690614246</v>
      </c>
      <c r="G35" s="2">
        <f t="shared" si="3"/>
        <v>8.0122485189447374</v>
      </c>
    </row>
    <row r="36" spans="1:7" x14ac:dyDescent="0.3">
      <c r="A36" s="4">
        <v>116.71628570556641</v>
      </c>
      <c r="B36" s="6">
        <v>81.358999999999995</v>
      </c>
      <c r="C36" s="4">
        <f t="shared" si="4"/>
        <v>-2.7099822138396803</v>
      </c>
      <c r="D36" s="6">
        <f t="shared" si="5"/>
        <v>1.419591549295788</v>
      </c>
      <c r="E36" s="2">
        <f t="shared" si="2"/>
        <v>-3.8470678495087012</v>
      </c>
      <c r="F36" s="2">
        <f t="shared" si="3"/>
        <v>7.3440035993274151</v>
      </c>
      <c r="G36" s="2">
        <f t="shared" si="3"/>
        <v>2.0152401668320157</v>
      </c>
    </row>
    <row r="37" spans="1:7" x14ac:dyDescent="0.3">
      <c r="A37" s="4">
        <v>111.19593811035156</v>
      </c>
      <c r="B37" s="6">
        <v>82.716999999999999</v>
      </c>
      <c r="C37" s="4">
        <f t="shared" si="4"/>
        <v>-8.230329809054524</v>
      </c>
      <c r="D37" s="6">
        <f t="shared" si="5"/>
        <v>2.7775915492957921</v>
      </c>
      <c r="E37" s="2">
        <f t="shared" si="2"/>
        <v>-22.860494525547097</v>
      </c>
      <c r="F37" s="2">
        <f t="shared" si="3"/>
        <v>67.738328765811474</v>
      </c>
      <c r="G37" s="2">
        <f t="shared" si="3"/>
        <v>7.7150148147193987</v>
      </c>
    </row>
    <row r="38" spans="1:7" x14ac:dyDescent="0.3">
      <c r="A38" s="4">
        <v>104.26704406738281</v>
      </c>
      <c r="B38" s="6">
        <v>81.739000000000004</v>
      </c>
      <c r="C38" s="4">
        <f t="shared" si="4"/>
        <v>-15.159223852023274</v>
      </c>
      <c r="D38" s="6">
        <f t="shared" si="5"/>
        <v>1.7995915492957977</v>
      </c>
      <c r="E38" s="2">
        <f t="shared" si="2"/>
        <v>-27.280411137984373</v>
      </c>
      <c r="F38" s="2">
        <f t="shared" si="3"/>
        <v>229.80206779575136</v>
      </c>
      <c r="G38" s="2">
        <f t="shared" si="3"/>
        <v>3.2385297442968493</v>
      </c>
    </row>
    <row r="39" spans="1:7" x14ac:dyDescent="0.3">
      <c r="A39" s="4">
        <v>120.99437713623047</v>
      </c>
      <c r="B39" s="6">
        <v>82.64</v>
      </c>
      <c r="C39" s="4">
        <f t="shared" si="4"/>
        <v>1.5681092168243822</v>
      </c>
      <c r="D39" s="6">
        <f t="shared" si="5"/>
        <v>2.7005915492957939</v>
      </c>
      <c r="E39" s="2">
        <f t="shared" si="2"/>
        <v>4.2348224993287724</v>
      </c>
      <c r="F39" s="2">
        <f t="shared" si="3"/>
        <v>2.4589665158895775</v>
      </c>
      <c r="G39" s="2">
        <f t="shared" si="3"/>
        <v>7.2931947161278563</v>
      </c>
    </row>
    <row r="40" spans="1:7" x14ac:dyDescent="0.3">
      <c r="A40" s="4">
        <v>105.37997436523438</v>
      </c>
      <c r="B40" s="6">
        <v>82.16</v>
      </c>
      <c r="C40" s="4">
        <f t="shared" si="4"/>
        <v>-14.046293554171712</v>
      </c>
      <c r="D40" s="6">
        <f t="shared" si="5"/>
        <v>2.2205915492957899</v>
      </c>
      <c r="E40" s="2">
        <f t="shared" si="2"/>
        <v>-31.19108076532163</v>
      </c>
      <c r="F40" s="2">
        <f t="shared" si="3"/>
        <v>197.29836260996578</v>
      </c>
      <c r="G40" s="2">
        <f t="shared" si="3"/>
        <v>4.9310268288038763</v>
      </c>
    </row>
    <row r="41" spans="1:7" x14ac:dyDescent="0.3">
      <c r="A41" s="4">
        <v>106.80965423583984</v>
      </c>
      <c r="B41" s="6">
        <v>81.72</v>
      </c>
      <c r="C41" s="4">
        <f t="shared" si="4"/>
        <v>-12.616613683566243</v>
      </c>
      <c r="D41" s="6">
        <f t="shared" si="5"/>
        <v>1.7805915492957922</v>
      </c>
      <c r="E41" s="2">
        <f t="shared" si="2"/>
        <v>-22.465035705687708</v>
      </c>
      <c r="F41" s="2">
        <f t="shared" si="3"/>
        <v>159.17894084035095</v>
      </c>
      <c r="G41" s="2">
        <f t="shared" si="3"/>
        <v>3.1705062654235898</v>
      </c>
    </row>
    <row r="42" spans="1:7" x14ac:dyDescent="0.3">
      <c r="A42" s="4">
        <v>108.46768188476563</v>
      </c>
      <c r="B42" s="6">
        <v>82.68</v>
      </c>
      <c r="C42" s="4">
        <f t="shared" si="4"/>
        <v>-10.958586034640462</v>
      </c>
      <c r="D42" s="6">
        <f t="shared" si="5"/>
        <v>2.7405915492958002</v>
      </c>
      <c r="E42" s="2">
        <f t="shared" si="2"/>
        <v>-30.033008278766623</v>
      </c>
      <c r="F42" s="2">
        <f t="shared" si="3"/>
        <v>120.09060787861695</v>
      </c>
      <c r="G42" s="2">
        <f t="shared" si="3"/>
        <v>7.5108420400715543</v>
      </c>
    </row>
    <row r="43" spans="1:7" x14ac:dyDescent="0.3">
      <c r="A43" s="4">
        <v>110.52894592285156</v>
      </c>
      <c r="B43" s="6">
        <v>82.090999999999994</v>
      </c>
      <c r="C43" s="4">
        <f t="shared" si="4"/>
        <v>-8.897321996554524</v>
      </c>
      <c r="D43" s="6">
        <f t="shared" si="5"/>
        <v>2.1515915492957873</v>
      </c>
      <c r="E43" s="2">
        <f t="shared" si="2"/>
        <v>-19.143402819150236</v>
      </c>
      <c r="F43" s="2">
        <f t="shared" si="3"/>
        <v>79.162338710372978</v>
      </c>
      <c r="G43" s="2">
        <f t="shared" si="3"/>
        <v>4.6293461950010464</v>
      </c>
    </row>
    <row r="44" spans="1:7" x14ac:dyDescent="0.3">
      <c r="A44" s="4">
        <v>107.44878387451172</v>
      </c>
      <c r="B44" s="6">
        <v>82.24</v>
      </c>
      <c r="C44" s="4">
        <f t="shared" si="4"/>
        <v>-11.977484044894368</v>
      </c>
      <c r="D44" s="6">
        <f t="shared" si="5"/>
        <v>2.3005915492957882</v>
      </c>
      <c r="E44" s="2">
        <f t="shared" si="2"/>
        <v>-27.555298575509116</v>
      </c>
      <c r="F44" s="2">
        <f t="shared" si="3"/>
        <v>143.46012404569913</v>
      </c>
      <c r="G44" s="2">
        <f t="shared" si="3"/>
        <v>5.2927214766911952</v>
      </c>
    </row>
    <row r="45" spans="1:7" x14ac:dyDescent="0.3">
      <c r="A45" s="4">
        <v>101.14118194580078</v>
      </c>
      <c r="B45" s="6">
        <v>82.701999999999998</v>
      </c>
      <c r="C45" s="4">
        <f t="shared" si="4"/>
        <v>-18.285085973605305</v>
      </c>
      <c r="D45" s="6">
        <f t="shared" si="5"/>
        <v>2.7625915492957915</v>
      </c>
      <c r="E45" s="2">
        <f t="shared" si="2"/>
        <v>-50.514223988829031</v>
      </c>
      <c r="F45" s="2">
        <f t="shared" si="3"/>
        <v>334.3443690621375</v>
      </c>
      <c r="G45" s="2">
        <f t="shared" si="3"/>
        <v>7.6319120682405215</v>
      </c>
    </row>
    <row r="46" spans="1:7" x14ac:dyDescent="0.3">
      <c r="A46" s="4">
        <v>98.634811401367188</v>
      </c>
      <c r="B46" s="6">
        <v>83.03</v>
      </c>
      <c r="C46" s="4">
        <f t="shared" si="4"/>
        <v>-20.791456518038899</v>
      </c>
      <c r="D46" s="6">
        <f t="shared" si="5"/>
        <v>3.0905915492957945</v>
      </c>
      <c r="E46" s="2">
        <f t="shared" si="2"/>
        <v>-64.257899812201984</v>
      </c>
      <c r="F46" s="2">
        <f t="shared" si="3"/>
        <v>432.28466414150222</v>
      </c>
      <c r="G46" s="2">
        <f t="shared" si="3"/>
        <v>9.5517561245785796</v>
      </c>
    </row>
    <row r="47" spans="1:7" x14ac:dyDescent="0.3">
      <c r="A47" s="4">
        <v>197.88700866699219</v>
      </c>
      <c r="B47" s="6">
        <v>83.256</v>
      </c>
      <c r="C47" s="4">
        <f t="shared" si="4"/>
        <v>78.460740747586101</v>
      </c>
      <c r="D47" s="6">
        <f t="shared" si="5"/>
        <v>3.3165915492957936</v>
      </c>
      <c r="E47" s="2">
        <f t="shared" si="2"/>
        <v>260.22222971493221</v>
      </c>
      <c r="F47" s="2">
        <f t="shared" si="3"/>
        <v>6156.0878386599179</v>
      </c>
      <c r="G47" s="2">
        <f t="shared" si="3"/>
        <v>10.999779504860273</v>
      </c>
    </row>
    <row r="48" spans="1:7" x14ac:dyDescent="0.3">
      <c r="A48" s="4">
        <v>156.69613647460938</v>
      </c>
      <c r="B48" s="6">
        <v>83.356999999999999</v>
      </c>
      <c r="C48" s="4">
        <f t="shared" si="4"/>
        <v>37.269868555203288</v>
      </c>
      <c r="D48" s="6">
        <f t="shared" si="5"/>
        <v>3.4175915492957927</v>
      </c>
      <c r="E48" s="2">
        <f t="shared" si="2"/>
        <v>127.37318781762775</v>
      </c>
      <c r="F48" s="2">
        <f t="shared" si="3"/>
        <v>1389.0431021221309</v>
      </c>
      <c r="G48" s="2">
        <f t="shared" si="3"/>
        <v>11.679931997818016</v>
      </c>
    </row>
    <row r="49" spans="1:7" x14ac:dyDescent="0.3">
      <c r="A49" s="4">
        <v>142.27946472167969</v>
      </c>
      <c r="B49" s="6">
        <v>83.19</v>
      </c>
      <c r="C49" s="4">
        <f t="shared" si="4"/>
        <v>22.853196802273601</v>
      </c>
      <c r="D49" s="6">
        <f t="shared" si="5"/>
        <v>3.2505915492957911</v>
      </c>
      <c r="E49" s="2">
        <f t="shared" si="2"/>
        <v>74.286408399864158</v>
      </c>
      <c r="F49" s="2">
        <f t="shared" si="3"/>
        <v>522.26860408344839</v>
      </c>
      <c r="G49" s="2">
        <f t="shared" si="3"/>
        <v>10.566345420353212</v>
      </c>
    </row>
    <row r="50" spans="1:7" x14ac:dyDescent="0.3">
      <c r="A50" s="4">
        <v>160.3736572265625</v>
      </c>
      <c r="B50" s="6">
        <v>83.094999999999999</v>
      </c>
      <c r="C50" s="4">
        <f t="shared" si="4"/>
        <v>40.947389307156413</v>
      </c>
      <c r="D50" s="6">
        <f t="shared" si="5"/>
        <v>3.1555915492957922</v>
      </c>
      <c r="E50" s="2">
        <f t="shared" si="2"/>
        <v>129.21323566338765</v>
      </c>
      <c r="F50" s="2">
        <f t="shared" si="3"/>
        <v>1676.6886910718274</v>
      </c>
      <c r="G50" s="2">
        <f t="shared" si="3"/>
        <v>9.9577580259870189</v>
      </c>
    </row>
    <row r="51" spans="1:7" x14ac:dyDescent="0.3">
      <c r="A51" s="4">
        <v>146.59817504882813</v>
      </c>
      <c r="B51" s="6">
        <v>82.9</v>
      </c>
      <c r="C51" s="4">
        <f t="shared" si="4"/>
        <v>27.171907129422038</v>
      </c>
      <c r="D51" s="6">
        <f t="shared" si="5"/>
        <v>2.960591549295799</v>
      </c>
      <c r="E51" s="2">
        <f t="shared" si="2"/>
        <v>80.444918625617163</v>
      </c>
      <c r="F51" s="2">
        <f t="shared" si="3"/>
        <v>738.31253704993617</v>
      </c>
      <c r="G51" s="2">
        <f t="shared" si="3"/>
        <v>8.7651023217617006</v>
      </c>
    </row>
    <row r="52" spans="1:7" x14ac:dyDescent="0.3">
      <c r="A52" s="4">
        <v>133.21316528320313</v>
      </c>
      <c r="B52" s="6">
        <v>83.35</v>
      </c>
      <c r="C52" s="4">
        <f t="shared" si="4"/>
        <v>13.786897363797038</v>
      </c>
      <c r="D52" s="6">
        <f t="shared" si="5"/>
        <v>3.4105915492957877</v>
      </c>
      <c r="E52" s="2">
        <f t="shared" si="2"/>
        <v>47.021475639974554</v>
      </c>
      <c r="F52" s="2">
        <f t="shared" si="3"/>
        <v>190.07853891987372</v>
      </c>
      <c r="G52" s="2">
        <f t="shared" si="3"/>
        <v>11.632134716127842</v>
      </c>
    </row>
    <row r="53" spans="1:7" x14ac:dyDescent="0.3">
      <c r="A53" s="4">
        <v>163.94734191894531</v>
      </c>
      <c r="B53" s="6">
        <v>83.45</v>
      </c>
      <c r="C53" s="4">
        <f t="shared" si="4"/>
        <v>44.521073999539226</v>
      </c>
      <c r="D53" s="6">
        <f t="shared" si="5"/>
        <v>3.5105915492957962</v>
      </c>
      <c r="E53" s="2">
        <f t="shared" si="2"/>
        <v>156.29530614835519</v>
      </c>
      <c r="F53" s="2">
        <f t="shared" si="3"/>
        <v>1982.1260300724477</v>
      </c>
      <c r="G53" s="2">
        <f t="shared" si="3"/>
        <v>12.324253025987058</v>
      </c>
    </row>
    <row r="54" spans="1:7" x14ac:dyDescent="0.3">
      <c r="A54" s="4">
        <v>130.52186584472656</v>
      </c>
      <c r="B54" s="6">
        <v>83.424000000000007</v>
      </c>
      <c r="C54" s="4">
        <f t="shared" si="4"/>
        <v>11.095597925320476</v>
      </c>
      <c r="D54" s="6">
        <f t="shared" si="5"/>
        <v>3.4845915492958</v>
      </c>
      <c r="E54" s="2">
        <f t="shared" si="2"/>
        <v>38.663626764955744</v>
      </c>
      <c r="F54" s="2">
        <f t="shared" si="3"/>
        <v>123.11229332037605</v>
      </c>
      <c r="G54" s="2">
        <f t="shared" si="3"/>
        <v>12.142378265423703</v>
      </c>
    </row>
    <row r="55" spans="1:7" x14ac:dyDescent="0.3">
      <c r="A55" s="4">
        <v>113.09279632568359</v>
      </c>
      <c r="B55" s="6">
        <v>83.355000000000004</v>
      </c>
      <c r="C55" s="4">
        <f t="shared" si="4"/>
        <v>-6.3334715937224928</v>
      </c>
      <c r="D55" s="6">
        <f t="shared" si="5"/>
        <v>3.4155915492957973</v>
      </c>
      <c r="E55" s="2">
        <f t="shared" si="2"/>
        <v>-21.632552053223531</v>
      </c>
      <c r="F55" s="2">
        <f t="shared" si="3"/>
        <v>40.112862428489734</v>
      </c>
      <c r="G55" s="2">
        <f t="shared" si="3"/>
        <v>11.666265631620865</v>
      </c>
    </row>
    <row r="56" spans="1:7" x14ac:dyDescent="0.3">
      <c r="A56" s="4">
        <v>92.394874572753906</v>
      </c>
      <c r="B56" s="6">
        <v>83.698999999999998</v>
      </c>
      <c r="C56" s="4">
        <f t="shared" si="4"/>
        <v>-27.03139334665218</v>
      </c>
      <c r="D56" s="6">
        <f t="shared" si="5"/>
        <v>3.7595915492957914</v>
      </c>
      <c r="E56" s="2">
        <f t="shared" si="2"/>
        <v>-101.62699799176401</v>
      </c>
      <c r="F56" s="2">
        <f t="shared" si="3"/>
        <v>730.69622626143178</v>
      </c>
      <c r="G56" s="2">
        <f t="shared" si="3"/>
        <v>14.134528617536329</v>
      </c>
    </row>
    <row r="57" spans="1:7" x14ac:dyDescent="0.3">
      <c r="A57" s="4">
        <v>140.97506713867188</v>
      </c>
      <c r="B57" s="6">
        <v>83.867000000000004</v>
      </c>
      <c r="C57" s="4">
        <f t="shared" si="4"/>
        <v>21.548799219265788</v>
      </c>
      <c r="D57" s="6">
        <f t="shared" si="5"/>
        <v>3.9275915492957978</v>
      </c>
      <c r="E57" s="2">
        <f t="shared" si="2"/>
        <v>84.634881711060203</v>
      </c>
      <c r="F57" s="2">
        <f t="shared" si="3"/>
        <v>464.35074779222987</v>
      </c>
      <c r="G57" s="2">
        <f t="shared" si="3"/>
        <v>15.425975378099766</v>
      </c>
    </row>
    <row r="58" spans="1:7" x14ac:dyDescent="0.3">
      <c r="A58" s="4">
        <v>130.35877990722656</v>
      </c>
      <c r="B58" s="6">
        <v>83.754999999999995</v>
      </c>
      <c r="C58" s="4">
        <f t="shared" si="4"/>
        <v>10.932511987820476</v>
      </c>
      <c r="D58" s="6">
        <f t="shared" si="5"/>
        <v>3.8155915492957888</v>
      </c>
      <c r="E58" s="2">
        <f t="shared" si="2"/>
        <v>41.714000353302715</v>
      </c>
      <c r="F58" s="2">
        <f t="shared" si="3"/>
        <v>119.51981836383841</v>
      </c>
      <c r="G58" s="2">
        <f t="shared" si="3"/>
        <v>14.558738871057438</v>
      </c>
    </row>
    <row r="59" spans="1:7" x14ac:dyDescent="0.3">
      <c r="A59" s="4">
        <v>130.689208984375</v>
      </c>
      <c r="B59" s="6">
        <v>84.061000000000007</v>
      </c>
      <c r="C59" s="4">
        <f t="shared" si="4"/>
        <v>11.262941064968913</v>
      </c>
      <c r="D59" s="6">
        <f t="shared" si="5"/>
        <v>4.1215915492958004</v>
      </c>
      <c r="E59" s="2">
        <f t="shared" si="2"/>
        <v>46.42124271359252</v>
      </c>
      <c r="F59" s="2">
        <f t="shared" si="3"/>
        <v>126.85384143296308</v>
      </c>
      <c r="G59" s="2">
        <f t="shared" si="3"/>
        <v>16.987516899226556</v>
      </c>
    </row>
    <row r="60" spans="1:7" x14ac:dyDescent="0.3">
      <c r="A60" s="4">
        <v>128.90164184570313</v>
      </c>
      <c r="B60" s="6">
        <v>84.558999999999997</v>
      </c>
      <c r="C60" s="4">
        <f t="shared" si="4"/>
        <v>9.4753739262970385</v>
      </c>
      <c r="D60" s="6">
        <f t="shared" si="5"/>
        <v>4.6195915492957909</v>
      </c>
      <c r="E60" s="2">
        <f t="shared" si="2"/>
        <v>43.772357316339473</v>
      </c>
      <c r="F60" s="2">
        <f t="shared" si="3"/>
        <v>89.78271104314976</v>
      </c>
      <c r="G60" s="2">
        <f t="shared" si="3"/>
        <v>21.340626082325084</v>
      </c>
    </row>
    <row r="61" spans="1:7" x14ac:dyDescent="0.3">
      <c r="A61" s="4">
        <v>142.36643981933594</v>
      </c>
      <c r="B61" s="6">
        <v>85.554000000000002</v>
      </c>
      <c r="C61" s="4">
        <f t="shared" si="4"/>
        <v>22.940171899929851</v>
      </c>
      <c r="D61" s="6">
        <f t="shared" si="5"/>
        <v>5.6145915492957954</v>
      </c>
      <c r="E61" s="2">
        <f t="shared" si="2"/>
        <v>128.799695288739</v>
      </c>
      <c r="F61" s="2">
        <f t="shared" si="3"/>
        <v>526.25148679833114</v>
      </c>
      <c r="G61" s="2">
        <f t="shared" si="3"/>
        <v>31.523638265423759</v>
      </c>
    </row>
    <row r="62" spans="1:7" x14ac:dyDescent="0.3">
      <c r="A62" s="4">
        <v>112.33326721191406</v>
      </c>
      <c r="B62" s="6">
        <v>86.561000000000007</v>
      </c>
      <c r="C62" s="4">
        <f t="shared" si="4"/>
        <v>-7.093000707492024</v>
      </c>
      <c r="D62" s="6">
        <f t="shared" si="5"/>
        <v>6.6215915492958004</v>
      </c>
      <c r="E62" s="2">
        <f t="shared" si="2"/>
        <v>-46.966953543878319</v>
      </c>
      <c r="F62" s="2">
        <f t="shared" si="3"/>
        <v>50.310659036482356</v>
      </c>
      <c r="G62" s="2">
        <f t="shared" si="3"/>
        <v>43.845474645705558</v>
      </c>
    </row>
    <row r="63" spans="1:7" x14ac:dyDescent="0.3">
      <c r="A63" s="4">
        <v>136.42637634277344</v>
      </c>
      <c r="B63" s="6">
        <v>87.471000000000004</v>
      </c>
      <c r="C63" s="4">
        <f t="shared" si="4"/>
        <v>17.000108423367351</v>
      </c>
      <c r="D63" s="6">
        <f t="shared" si="5"/>
        <v>7.531591549295797</v>
      </c>
      <c r="E63" s="2">
        <f t="shared" si="2"/>
        <v>128.03787293854583</v>
      </c>
      <c r="F63" s="2">
        <f t="shared" si="3"/>
        <v>289.00368640624555</v>
      </c>
      <c r="G63" s="2">
        <f t="shared" si="3"/>
        <v>56.724871265423864</v>
      </c>
    </row>
    <row r="64" spans="1:7" x14ac:dyDescent="0.3">
      <c r="A64" s="4">
        <v>175.44340515136719</v>
      </c>
      <c r="B64" s="6">
        <v>85.46</v>
      </c>
      <c r="C64" s="4">
        <f t="shared" si="4"/>
        <v>56.017137231961101</v>
      </c>
      <c r="D64" s="6">
        <f t="shared" si="5"/>
        <v>5.5205915492957871</v>
      </c>
      <c r="E64" s="2">
        <f t="shared" si="2"/>
        <v>309.24773441850687</v>
      </c>
      <c r="F64" s="2">
        <f t="shared" si="3"/>
        <v>3137.9196636643628</v>
      </c>
      <c r="G64" s="2">
        <f t="shared" si="3"/>
        <v>30.476931054156058</v>
      </c>
    </row>
    <row r="65" spans="1:7" x14ac:dyDescent="0.3">
      <c r="A65" s="4">
        <v>139.71894836425781</v>
      </c>
      <c r="B65" s="6">
        <v>84.599000000000004</v>
      </c>
      <c r="C65" s="4">
        <f t="shared" si="4"/>
        <v>20.292680444851726</v>
      </c>
      <c r="D65" s="6">
        <f t="shared" si="5"/>
        <v>4.6595915492957971</v>
      </c>
      <c r="E65" s="2">
        <f t="shared" si="2"/>
        <v>94.555602313391176</v>
      </c>
      <c r="F65" s="2">
        <f t="shared" si="3"/>
        <v>411.79287963686767</v>
      </c>
      <c r="G65" s="2">
        <f t="shared" si="3"/>
        <v>21.711793406268807</v>
      </c>
    </row>
    <row r="66" spans="1:7" x14ac:dyDescent="0.3">
      <c r="A66" s="4">
        <v>165.81121826171875</v>
      </c>
      <c r="B66" s="6">
        <v>85.525000000000006</v>
      </c>
      <c r="C66" s="4">
        <f t="shared" ref="C66:C72" si="6">A66-$A$77</f>
        <v>46.384950342312663</v>
      </c>
      <c r="D66" s="6">
        <f t="shared" ref="D66:D72" si="7">B66-$B$77</f>
        <v>5.585591549295799</v>
      </c>
      <c r="E66" s="2">
        <f t="shared" si="2"/>
        <v>259.08738664652691</v>
      </c>
      <c r="F66" s="2">
        <f t="shared" si="3"/>
        <v>2151.5636182588119</v>
      </c>
      <c r="G66" s="2">
        <f t="shared" si="3"/>
        <v>31.198832955564644</v>
      </c>
    </row>
    <row r="67" spans="1:7" x14ac:dyDescent="0.3">
      <c r="A67" s="4">
        <v>222.19857788085938</v>
      </c>
      <c r="B67" s="6">
        <v>85.7</v>
      </c>
      <c r="C67" s="4">
        <f t="shared" si="6"/>
        <v>102.77230996145329</v>
      </c>
      <c r="D67" s="6">
        <f t="shared" si="7"/>
        <v>5.7605915492957962</v>
      </c>
      <c r="E67" s="2">
        <f t="shared" ref="E67:E72" si="8">C67*D67</f>
        <v>592.029300265556</v>
      </c>
      <c r="F67" s="2">
        <f t="shared" ref="F67:G72" si="9">C67*C67</f>
        <v>10562.147694813031</v>
      </c>
      <c r="G67" s="2">
        <f t="shared" si="9"/>
        <v>33.184414997818145</v>
      </c>
    </row>
    <row r="68" spans="1:7" x14ac:dyDescent="0.3">
      <c r="A68" s="4">
        <v>134.79460144042969</v>
      </c>
      <c r="B68" s="6">
        <v>87.524000000000001</v>
      </c>
      <c r="C68" s="4">
        <f t="shared" si="6"/>
        <v>15.368333521023601</v>
      </c>
      <c r="D68" s="6">
        <f t="shared" si="7"/>
        <v>7.5845915492957943</v>
      </c>
      <c r="E68" s="2">
        <f t="shared" si="8"/>
        <v>116.56253255031488</v>
      </c>
      <c r="F68" s="2">
        <f t="shared" si="9"/>
        <v>236.18567521341768</v>
      </c>
      <c r="G68" s="2">
        <f t="shared" si="9"/>
        <v>57.526028969649175</v>
      </c>
    </row>
    <row r="69" spans="1:7" x14ac:dyDescent="0.3">
      <c r="A69" s="4">
        <v>136.74961853027344</v>
      </c>
      <c r="B69" s="6">
        <v>88.174000000000007</v>
      </c>
      <c r="C69" s="4">
        <f t="shared" si="6"/>
        <v>17.323350610867351</v>
      </c>
      <c r="D69" s="6">
        <f t="shared" si="7"/>
        <v>8.2345915492958</v>
      </c>
      <c r="E69" s="2">
        <f t="shared" si="8"/>
        <v>142.65071654573651</v>
      </c>
      <c r="F69" s="2">
        <f t="shared" si="9"/>
        <v>300.0984763870382</v>
      </c>
      <c r="G69" s="2">
        <f t="shared" si="9"/>
        <v>67.808497983733801</v>
      </c>
    </row>
    <row r="70" spans="1:7" x14ac:dyDescent="0.3">
      <c r="A70" s="4">
        <v>124.10614776611328</v>
      </c>
      <c r="B70" s="6">
        <v>88.840999999999994</v>
      </c>
      <c r="C70" s="4">
        <f t="shared" si="6"/>
        <v>4.6798798467071947</v>
      </c>
      <c r="D70" s="6">
        <f t="shared" si="7"/>
        <v>8.9015915492957873</v>
      </c>
      <c r="E70" s="2">
        <f t="shared" si="8"/>
        <v>41.658378895168426</v>
      </c>
      <c r="F70" s="2">
        <f t="shared" si="9"/>
        <v>21.901275379616155</v>
      </c>
      <c r="G70" s="2">
        <f t="shared" si="9"/>
        <v>79.23833211049417</v>
      </c>
    </row>
    <row r="71" spans="1:7" x14ac:dyDescent="0.3">
      <c r="A71" s="4">
        <v>154.43557739257813</v>
      </c>
      <c r="B71" s="6">
        <v>88.769000000000005</v>
      </c>
      <c r="C71" s="4">
        <f t="shared" si="6"/>
        <v>35.009309473172038</v>
      </c>
      <c r="D71" s="6">
        <f t="shared" si="7"/>
        <v>8.8295915492957988</v>
      </c>
      <c r="E71" s="2">
        <f t="shared" si="8"/>
        <v>309.11790307100119</v>
      </c>
      <c r="F71" s="2">
        <f t="shared" si="9"/>
        <v>1225.6517497883335</v>
      </c>
      <c r="G71" s="2">
        <f t="shared" si="9"/>
        <v>77.961686927395789</v>
      </c>
    </row>
    <row r="72" spans="1:7" x14ac:dyDescent="0.3">
      <c r="A72" s="4">
        <v>99.912399291992188</v>
      </c>
      <c r="B72" s="6">
        <v>89.356999999999999</v>
      </c>
      <c r="C72" s="4">
        <f t="shared" si="6"/>
        <v>-19.513868627413899</v>
      </c>
      <c r="D72" s="6">
        <f t="shared" si="7"/>
        <v>9.4175915492957927</v>
      </c>
      <c r="E72" s="2">
        <f t="shared" si="8"/>
        <v>-183.77364427960143</v>
      </c>
      <c r="F72" s="2">
        <f t="shared" si="9"/>
        <v>380.79106880796843</v>
      </c>
      <c r="G72" s="2">
        <f t="shared" si="9"/>
        <v>88.691030589367529</v>
      </c>
    </row>
    <row r="73" spans="1:7" ht="15" thickBot="1" x14ac:dyDescent="0.35">
      <c r="A73" s="11">
        <f t="shared" ref="A73:G73" si="10">SUM(A2:A72)</f>
        <v>8479.265022277832</v>
      </c>
      <c r="B73" s="11">
        <f t="shared" si="10"/>
        <v>5675.6979999999985</v>
      </c>
      <c r="C73" s="11">
        <f t="shared" si="10"/>
        <v>-1.1368683772161603E-13</v>
      </c>
      <c r="D73" s="11">
        <f t="shared" si="10"/>
        <v>1.3642420526593924E-12</v>
      </c>
      <c r="E73" s="11">
        <f t="shared" si="10"/>
        <v>6528.8639873132834</v>
      </c>
      <c r="F73" s="11">
        <f t="shared" si="10"/>
        <v>135636.67315368389</v>
      </c>
      <c r="G73" s="11">
        <f t="shared" si="10"/>
        <v>1836.6661611549296</v>
      </c>
    </row>
    <row r="74" spans="1:7" ht="15" thickTop="1" x14ac:dyDescent="0.3"/>
    <row r="75" spans="1:7" x14ac:dyDescent="0.3">
      <c r="A75" s="13" t="s">
        <v>18</v>
      </c>
      <c r="B75" s="13"/>
    </row>
    <row r="76" spans="1:7" x14ac:dyDescent="0.3">
      <c r="A76" s="2" t="s">
        <v>2</v>
      </c>
      <c r="B76" s="2" t="s">
        <v>8</v>
      </c>
    </row>
    <row r="77" spans="1:7" x14ac:dyDescent="0.3">
      <c r="A77" s="4">
        <f>SUM(A2:A72)/71</f>
        <v>119.42626791940609</v>
      </c>
      <c r="B77" s="6">
        <f>AVERAGE(B2:B72)</f>
        <v>79.939408450704207</v>
      </c>
      <c r="F77" s="6"/>
      <c r="G77" s="6"/>
    </row>
    <row r="78" spans="1:7" x14ac:dyDescent="0.3">
      <c r="A78" s="13" t="s">
        <v>27</v>
      </c>
      <c r="B78" s="13"/>
      <c r="D78" s="4"/>
    </row>
    <row r="79" spans="1:7" x14ac:dyDescent="0.3">
      <c r="A79" s="2">
        <f>E73/SQRT(F73*G73)</f>
        <v>0.41365087224511682</v>
      </c>
      <c r="B79" s="2" t="s">
        <v>20</v>
      </c>
    </row>
    <row r="80" spans="1:7" x14ac:dyDescent="0.3">
      <c r="A80" s="2">
        <f>CORREL(A2:A72,B2:B72)</f>
        <v>0.41365087224511687</v>
      </c>
      <c r="B80" s="2" t="s">
        <v>21</v>
      </c>
    </row>
    <row r="82" spans="1:6" x14ac:dyDescent="0.3">
      <c r="A82" s="13" t="s">
        <v>19</v>
      </c>
      <c r="B82" s="13"/>
    </row>
    <row r="85" spans="1:6" x14ac:dyDescent="0.3">
      <c r="A85" s="14"/>
      <c r="B85" s="14"/>
    </row>
    <row r="89" spans="1:6" x14ac:dyDescent="0.3">
      <c r="A89" s="13"/>
      <c r="B89" s="13"/>
    </row>
    <row r="91" spans="1:6" x14ac:dyDescent="0.3">
      <c r="A91" s="13" t="s">
        <v>36</v>
      </c>
      <c r="B91" s="13"/>
      <c r="C91" s="13"/>
      <c r="D91" s="13"/>
      <c r="E91" s="13"/>
      <c r="F91" s="13"/>
    </row>
  </sheetData>
  <mergeCells count="6">
    <mergeCell ref="A91:F91"/>
    <mergeCell ref="A75:B75"/>
    <mergeCell ref="A78:B78"/>
    <mergeCell ref="A82:B82"/>
    <mergeCell ref="A85:B85"/>
    <mergeCell ref="A89:B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LineGraph</vt:lpstr>
      <vt:lpstr>Moving-Average-Actual-3MA-6MA</vt:lpstr>
      <vt:lpstr>Correlation-GPR-Gold</vt:lpstr>
      <vt:lpstr>Correlation-GPR-Nifty</vt:lpstr>
      <vt:lpstr>Correlation-GPR-USDINR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Mogneeshwar J K U</dc:creator>
  <cp:lastModifiedBy>Mogneeshwar J K U</cp:lastModifiedBy>
  <cp:lastPrinted>2025-12-18T00:59:29Z</cp:lastPrinted>
  <dcterms:created xsi:type="dcterms:W3CDTF">2025-12-17T06:46:20Z</dcterms:created>
  <dcterms:modified xsi:type="dcterms:W3CDTF">2025-12-18T12:40:02Z</dcterms:modified>
</cp:coreProperties>
</file>