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Tharani\VIT-MS\Semester 4\EA-Project\SecondReview\excel_analysis\"/>
    </mc:Choice>
  </mc:AlternateContent>
  <xr:revisionPtr revIDLastSave="0" documentId="13_ncr:1_{E143A864-34F9-4E23-AD06-A2EAAC2600AF}" xr6:coauthVersionLast="47" xr6:coauthVersionMax="47" xr10:uidLastSave="{00000000-0000-0000-0000-000000000000}"/>
  <bookViews>
    <workbookView xWindow="-108" yWindow="-108" windowWidth="23256" windowHeight="12456" xr2:uid="{202487DA-13BC-476F-8388-4F279760499C}"/>
  </bookViews>
  <sheets>
    <sheet name="Level-Vs-FirstDiffere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2" i="1" l="1"/>
  <c r="H72" i="1"/>
  <c r="G72" i="1"/>
  <c r="F72" i="1"/>
  <c r="I71" i="1"/>
  <c r="H71" i="1"/>
  <c r="G71" i="1"/>
  <c r="F71" i="1"/>
  <c r="I70" i="1"/>
  <c r="H70" i="1"/>
  <c r="G70" i="1"/>
  <c r="F70" i="1"/>
  <c r="I69" i="1"/>
  <c r="H69" i="1"/>
  <c r="G69" i="1"/>
  <c r="F69" i="1"/>
  <c r="I68" i="1"/>
  <c r="H68" i="1"/>
  <c r="G68" i="1"/>
  <c r="F68" i="1"/>
  <c r="I67" i="1"/>
  <c r="H67" i="1"/>
  <c r="G67" i="1"/>
  <c r="F67" i="1"/>
  <c r="I66" i="1"/>
  <c r="H66" i="1"/>
  <c r="G66" i="1"/>
  <c r="F66" i="1"/>
  <c r="I65" i="1"/>
  <c r="H65" i="1"/>
  <c r="G65" i="1"/>
  <c r="F65" i="1"/>
  <c r="I64" i="1"/>
  <c r="H64" i="1"/>
  <c r="G64" i="1"/>
  <c r="F64" i="1"/>
  <c r="I63" i="1"/>
  <c r="H63" i="1"/>
  <c r="G63" i="1"/>
  <c r="F63" i="1"/>
  <c r="I62" i="1"/>
  <c r="H62" i="1"/>
  <c r="G62" i="1"/>
  <c r="F62" i="1"/>
  <c r="I61" i="1"/>
  <c r="H61" i="1"/>
  <c r="G61" i="1"/>
  <c r="F61" i="1"/>
  <c r="I60" i="1"/>
  <c r="H60" i="1"/>
  <c r="G60" i="1"/>
  <c r="F60" i="1"/>
  <c r="I59" i="1"/>
  <c r="H59" i="1"/>
  <c r="G59" i="1"/>
  <c r="F59" i="1"/>
  <c r="I58" i="1"/>
  <c r="H58" i="1"/>
  <c r="G58" i="1"/>
  <c r="F58" i="1"/>
  <c r="I57" i="1"/>
  <c r="H57" i="1"/>
  <c r="G57" i="1"/>
  <c r="F57" i="1"/>
  <c r="I56" i="1"/>
  <c r="H56" i="1"/>
  <c r="G56" i="1"/>
  <c r="F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H2" i="1"/>
</calcChain>
</file>

<file path=xl/sharedStrings.xml><?xml version="1.0" encoding="utf-8"?>
<sst xmlns="http://schemas.openxmlformats.org/spreadsheetml/2006/main" count="9" uniqueCount="9">
  <si>
    <t>Month</t>
  </si>
  <si>
    <t>GPR</t>
  </si>
  <si>
    <t>Gold Price</t>
  </si>
  <si>
    <t>Nifty Price</t>
  </si>
  <si>
    <t>INR/USD ExchangeRate</t>
  </si>
  <si>
    <t>ΔGPR</t>
  </si>
  <si>
    <t>ΔGold</t>
  </si>
  <si>
    <t>ΔNifty</t>
  </si>
  <si>
    <t>ΔUSDINR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</si>
</sst>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Geopolitical Risk Index </a:t>
            </a:r>
          </a:p>
          <a:p>
            <a:pPr>
              <a:defRPr/>
            </a:pPr>
            <a:r>
              <a:rPr lang="en-IN" sz="1400" b="0" i="0" u="none" strike="noStrike" baseline="0"/>
              <a:t>(Level and First Difference)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'[1]ADF-Test'!$B$1</c:f>
              <c:strCache>
                <c:ptCount val="1"/>
                <c:pt idx="0">
                  <c:v>GPR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'[1]ADF-Test'!$B$2:$B$73</c:f>
              <c:numCache>
                <c:formatCode>General</c:formatCode>
                <c:ptCount val="72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8-4AC7-863A-FF0BF11B893B}"/>
            </c:ext>
          </c:extLst>
        </c:ser>
        <c:ser>
          <c:idx val="1"/>
          <c:order val="1"/>
          <c:tx>
            <c:strRef>
              <c:f>'[1]ADF-Test'!$F$1</c:f>
              <c:strCache>
                <c:ptCount val="1"/>
                <c:pt idx="0">
                  <c:v>ΔGPR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'[1]ADF-Test'!$F$2:$F$73</c:f>
              <c:numCache>
                <c:formatCode>General</c:formatCode>
                <c:ptCount val="72"/>
                <c:pt idx="0">
                  <c:v>0</c:v>
                </c:pt>
                <c:pt idx="1">
                  <c:v>-62.465385437011719</c:v>
                </c:pt>
                <c:pt idx="2">
                  <c:v>5.5844726562500284</c:v>
                </c:pt>
                <c:pt idx="3">
                  <c:v>-12.20063018798831</c:v>
                </c:pt>
                <c:pt idx="4">
                  <c:v>-0.832183837890625</c:v>
                </c:pt>
                <c:pt idx="5">
                  <c:v>2.72064208984375</c:v>
                </c:pt>
                <c:pt idx="6">
                  <c:v>-4.75457763671875</c:v>
                </c:pt>
                <c:pt idx="7">
                  <c:v>-1.007232666015625</c:v>
                </c:pt>
                <c:pt idx="8">
                  <c:v>14.911331176757813</c:v>
                </c:pt>
                <c:pt idx="9">
                  <c:v>-4.2942123413085938</c:v>
                </c:pt>
                <c:pt idx="10">
                  <c:v>-6.0157012939453125</c:v>
                </c:pt>
                <c:pt idx="11">
                  <c:v>-6.0001754760742188</c:v>
                </c:pt>
                <c:pt idx="12">
                  <c:v>13.351409912109375</c:v>
                </c:pt>
                <c:pt idx="13">
                  <c:v>-3.4618988037109375</c:v>
                </c:pt>
                <c:pt idx="14">
                  <c:v>4.6619644165039063</c:v>
                </c:pt>
                <c:pt idx="15">
                  <c:v>9.547454833984375</c:v>
                </c:pt>
                <c:pt idx="16">
                  <c:v>4.840911865234375</c:v>
                </c:pt>
                <c:pt idx="17">
                  <c:v>-18.880012512207031</c:v>
                </c:pt>
                <c:pt idx="18">
                  <c:v>-15.706352233886719</c:v>
                </c:pt>
                <c:pt idx="19">
                  <c:v>31.065780639648438</c:v>
                </c:pt>
                <c:pt idx="20">
                  <c:v>-8.789581298828125</c:v>
                </c:pt>
                <c:pt idx="21">
                  <c:v>-1.6677322387695313</c:v>
                </c:pt>
                <c:pt idx="22">
                  <c:v>7.5399093627929688</c:v>
                </c:pt>
                <c:pt idx="23">
                  <c:v>18.776275634765625</c:v>
                </c:pt>
                <c:pt idx="24">
                  <c:v>33.329566955566406</c:v>
                </c:pt>
                <c:pt idx="25">
                  <c:v>77.484024047851563</c:v>
                </c:pt>
                <c:pt idx="26">
                  <c:v>102.79591369628906</c:v>
                </c:pt>
                <c:pt idx="27">
                  <c:v>-127.81182861328125</c:v>
                </c:pt>
                <c:pt idx="28">
                  <c:v>-48.884613037109375</c:v>
                </c:pt>
                <c:pt idx="29">
                  <c:v>-11.551162719726563</c:v>
                </c:pt>
                <c:pt idx="30">
                  <c:v>-13.530555725097656</c:v>
                </c:pt>
                <c:pt idx="31">
                  <c:v>15.686454772949219</c:v>
                </c:pt>
                <c:pt idx="32">
                  <c:v>-0.877349853515625</c:v>
                </c:pt>
                <c:pt idx="33">
                  <c:v>11.176544189453125</c:v>
                </c:pt>
                <c:pt idx="34">
                  <c:v>-26.446128845214844</c:v>
                </c:pt>
                <c:pt idx="35">
                  <c:v>-5.5203475952148438</c:v>
                </c:pt>
                <c:pt idx="36">
                  <c:v>-6.92889404296875</c:v>
                </c:pt>
                <c:pt idx="37">
                  <c:v>16.727333068847656</c:v>
                </c:pt>
                <c:pt idx="38">
                  <c:v>-15.614402770996094</c:v>
                </c:pt>
                <c:pt idx="39">
                  <c:v>1.4296798706054688</c:v>
                </c:pt>
                <c:pt idx="40">
                  <c:v>1.6580276489257813</c:v>
                </c:pt>
                <c:pt idx="41">
                  <c:v>2.0612640380859375</c:v>
                </c:pt>
                <c:pt idx="42">
                  <c:v>-3.0801620483398438</c:v>
                </c:pt>
                <c:pt idx="43">
                  <c:v>-6.3076019287109375</c:v>
                </c:pt>
                <c:pt idx="44">
                  <c:v>-2.5063705444335938</c:v>
                </c:pt>
                <c:pt idx="45">
                  <c:v>99.252197265625</c:v>
                </c:pt>
                <c:pt idx="46">
                  <c:v>-41.190872192382813</c:v>
                </c:pt>
                <c:pt idx="47">
                  <c:v>-14.416671752929688</c:v>
                </c:pt>
                <c:pt idx="48">
                  <c:v>18.094192504882813</c:v>
                </c:pt>
                <c:pt idx="49">
                  <c:v>-13.775482177734375</c:v>
                </c:pt>
                <c:pt idx="50">
                  <c:v>-13.385009765625</c:v>
                </c:pt>
                <c:pt idx="51">
                  <c:v>30.734176635742188</c:v>
                </c:pt>
                <c:pt idx="52">
                  <c:v>-33.42547607421875</c:v>
                </c:pt>
                <c:pt idx="53">
                  <c:v>-17.429069519042969</c:v>
                </c:pt>
                <c:pt idx="54">
                  <c:v>-20.697921752929688</c:v>
                </c:pt>
                <c:pt idx="55">
                  <c:v>48.580192565917969</c:v>
                </c:pt>
                <c:pt idx="56">
                  <c:v>-10.616287231445313</c:v>
                </c:pt>
                <c:pt idx="57">
                  <c:v>0.3304290771484375</c:v>
                </c:pt>
                <c:pt idx="58">
                  <c:v>-1.787567138671875</c:v>
                </c:pt>
                <c:pt idx="59">
                  <c:v>13.464797973632813</c:v>
                </c:pt>
                <c:pt idx="60">
                  <c:v>-30.033172607421875</c:v>
                </c:pt>
                <c:pt idx="61">
                  <c:v>24.093109130859375</c:v>
                </c:pt>
                <c:pt idx="62">
                  <c:v>39.01702880859375</c:v>
                </c:pt>
                <c:pt idx="63">
                  <c:v>-35.724456787109375</c:v>
                </c:pt>
                <c:pt idx="64">
                  <c:v>26.092269897460938</c:v>
                </c:pt>
                <c:pt idx="65">
                  <c:v>56.387359619140625</c:v>
                </c:pt>
                <c:pt idx="66">
                  <c:v>-87.403976440429688</c:v>
                </c:pt>
                <c:pt idx="67">
                  <c:v>1.95501708984375</c:v>
                </c:pt>
                <c:pt idx="68">
                  <c:v>-12.643470764160156</c:v>
                </c:pt>
                <c:pt idx="69">
                  <c:v>30.329429626464844</c:v>
                </c:pt>
                <c:pt idx="70">
                  <c:v>-54.523178100585938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8-4AC7-863A-FF0BF11B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981551"/>
        <c:axId val="2078982031"/>
      </c:lineChart>
      <c:catAx>
        <c:axId val="20789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82031"/>
        <c:crosses val="autoZero"/>
        <c:auto val="1"/>
        <c:lblAlgn val="ctr"/>
        <c:lblOffset val="100"/>
        <c:noMultiLvlLbl val="0"/>
      </c:catAx>
      <c:valAx>
        <c:axId val="20789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Nifty 50 Index: Level and First Difference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'[1]ADF-Test'!$D$1</c:f>
              <c:strCache>
                <c:ptCount val="1"/>
                <c:pt idx="0">
                  <c:v>Nifty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'[1]ADF-Test'!$D$2:$D$72</c:f>
              <c:numCache>
                <c:formatCode>General</c:formatCode>
                <c:ptCount val="71"/>
                <c:pt idx="0">
                  <c:v>11962.1</c:v>
                </c:pt>
                <c:pt idx="1">
                  <c:v>11201.75</c:v>
                </c:pt>
                <c:pt idx="2">
                  <c:v>8597.75</c:v>
                </c:pt>
                <c:pt idx="3">
                  <c:v>9859.9</c:v>
                </c:pt>
                <c:pt idx="4">
                  <c:v>9580.2999999999993</c:v>
                </c:pt>
                <c:pt idx="5">
                  <c:v>10302.1</c:v>
                </c:pt>
                <c:pt idx="6">
                  <c:v>11073.45</c:v>
                </c:pt>
                <c:pt idx="7">
                  <c:v>11387.5</c:v>
                </c:pt>
                <c:pt idx="8">
                  <c:v>11247.55</c:v>
                </c:pt>
                <c:pt idx="9">
                  <c:v>11642.4</c:v>
                </c:pt>
                <c:pt idx="10">
                  <c:v>12968.95</c:v>
                </c:pt>
                <c:pt idx="11">
                  <c:v>13981.75</c:v>
                </c:pt>
                <c:pt idx="12">
                  <c:v>13634.6</c:v>
                </c:pt>
                <c:pt idx="13">
                  <c:v>14529.15</c:v>
                </c:pt>
                <c:pt idx="14">
                  <c:v>14690.7</c:v>
                </c:pt>
                <c:pt idx="15">
                  <c:v>14631.1</c:v>
                </c:pt>
                <c:pt idx="16">
                  <c:v>15582.8</c:v>
                </c:pt>
                <c:pt idx="17">
                  <c:v>15721.5</c:v>
                </c:pt>
                <c:pt idx="18">
                  <c:v>15763.05</c:v>
                </c:pt>
                <c:pt idx="19">
                  <c:v>17132.2</c:v>
                </c:pt>
                <c:pt idx="20">
                  <c:v>17618.150000000001</c:v>
                </c:pt>
                <c:pt idx="21">
                  <c:v>17671.650000000001</c:v>
                </c:pt>
                <c:pt idx="22">
                  <c:v>16983.2</c:v>
                </c:pt>
                <c:pt idx="23">
                  <c:v>17354.05</c:v>
                </c:pt>
                <c:pt idx="24">
                  <c:v>17339.849999999999</c:v>
                </c:pt>
                <c:pt idx="25">
                  <c:v>16793.900000000001</c:v>
                </c:pt>
                <c:pt idx="26">
                  <c:v>17464.75</c:v>
                </c:pt>
                <c:pt idx="27">
                  <c:v>17102.55</c:v>
                </c:pt>
                <c:pt idx="28">
                  <c:v>16584.55</c:v>
                </c:pt>
                <c:pt idx="29">
                  <c:v>15780.25</c:v>
                </c:pt>
                <c:pt idx="30">
                  <c:v>17158.25</c:v>
                </c:pt>
                <c:pt idx="31">
                  <c:v>17759.3</c:v>
                </c:pt>
                <c:pt idx="32">
                  <c:v>17094.349999999999</c:v>
                </c:pt>
                <c:pt idx="33">
                  <c:v>18012.2</c:v>
                </c:pt>
                <c:pt idx="34">
                  <c:v>18758.349999999999</c:v>
                </c:pt>
                <c:pt idx="35">
                  <c:v>18105.3</c:v>
                </c:pt>
                <c:pt idx="36">
                  <c:v>17662.150000000001</c:v>
                </c:pt>
                <c:pt idx="37">
                  <c:v>17303.95</c:v>
                </c:pt>
                <c:pt idx="38">
                  <c:v>17359.75</c:v>
                </c:pt>
                <c:pt idx="39">
                  <c:v>18065</c:v>
                </c:pt>
                <c:pt idx="40">
                  <c:v>18534.400000000001</c:v>
                </c:pt>
                <c:pt idx="41">
                  <c:v>19189.05</c:v>
                </c:pt>
                <c:pt idx="42">
                  <c:v>19753.8</c:v>
                </c:pt>
                <c:pt idx="43">
                  <c:v>19253.8</c:v>
                </c:pt>
                <c:pt idx="44">
                  <c:v>19638.3</c:v>
                </c:pt>
                <c:pt idx="45">
                  <c:v>19079.599999999999</c:v>
                </c:pt>
                <c:pt idx="46">
                  <c:v>20133.150000000001</c:v>
                </c:pt>
                <c:pt idx="47">
                  <c:v>21731.4</c:v>
                </c:pt>
                <c:pt idx="48">
                  <c:v>21725.7</c:v>
                </c:pt>
                <c:pt idx="49">
                  <c:v>21982.799999999999</c:v>
                </c:pt>
                <c:pt idx="50">
                  <c:v>22326.9</c:v>
                </c:pt>
                <c:pt idx="51">
                  <c:v>22604.85</c:v>
                </c:pt>
                <c:pt idx="52">
                  <c:v>22530.7</c:v>
                </c:pt>
                <c:pt idx="53">
                  <c:v>24010.6</c:v>
                </c:pt>
                <c:pt idx="54">
                  <c:v>24951.15</c:v>
                </c:pt>
                <c:pt idx="55">
                  <c:v>25235.9</c:v>
                </c:pt>
                <c:pt idx="56">
                  <c:v>25810.85</c:v>
                </c:pt>
                <c:pt idx="57">
                  <c:v>24205.35</c:v>
                </c:pt>
                <c:pt idx="58">
                  <c:v>24131.1</c:v>
                </c:pt>
                <c:pt idx="59">
                  <c:v>23644.799999999999</c:v>
                </c:pt>
                <c:pt idx="60">
                  <c:v>23508.400000000001</c:v>
                </c:pt>
                <c:pt idx="61">
                  <c:v>22124.7</c:v>
                </c:pt>
                <c:pt idx="62">
                  <c:v>23519.35</c:v>
                </c:pt>
                <c:pt idx="63">
                  <c:v>24334.2</c:v>
                </c:pt>
                <c:pt idx="64">
                  <c:v>24750.7</c:v>
                </c:pt>
                <c:pt idx="65">
                  <c:v>25517.05</c:v>
                </c:pt>
                <c:pt idx="66">
                  <c:v>24768.35</c:v>
                </c:pt>
                <c:pt idx="67">
                  <c:v>24426.85</c:v>
                </c:pt>
                <c:pt idx="68">
                  <c:v>24611.1</c:v>
                </c:pt>
                <c:pt idx="69">
                  <c:v>25722.1</c:v>
                </c:pt>
                <c:pt idx="70">
                  <c:v>26202.95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9-485B-96FA-108D4AB1E173}"/>
            </c:ext>
          </c:extLst>
        </c:ser>
        <c:ser>
          <c:idx val="1"/>
          <c:order val="1"/>
          <c:tx>
            <c:strRef>
              <c:f>'[1]ADF-Test'!$H$1</c:f>
              <c:strCache>
                <c:ptCount val="1"/>
                <c:pt idx="0">
                  <c:v>ΔNifty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'[1]ADF-Test'!$H$2:$H$72</c:f>
              <c:numCache>
                <c:formatCode>General</c:formatCode>
                <c:ptCount val="71"/>
                <c:pt idx="0">
                  <c:v>0</c:v>
                </c:pt>
                <c:pt idx="1">
                  <c:v>-760.35000000000036</c:v>
                </c:pt>
                <c:pt idx="2">
                  <c:v>-2604</c:v>
                </c:pt>
                <c:pt idx="3">
                  <c:v>1262.1499999999996</c:v>
                </c:pt>
                <c:pt idx="4">
                  <c:v>-279.60000000000036</c:v>
                </c:pt>
                <c:pt idx="5">
                  <c:v>721.80000000000109</c:v>
                </c:pt>
                <c:pt idx="6">
                  <c:v>771.35000000000036</c:v>
                </c:pt>
                <c:pt idx="7">
                  <c:v>314.04999999999927</c:v>
                </c:pt>
                <c:pt idx="8">
                  <c:v>-139.95000000000073</c:v>
                </c:pt>
                <c:pt idx="9">
                  <c:v>394.85000000000036</c:v>
                </c:pt>
                <c:pt idx="10">
                  <c:v>1326.5500000000011</c:v>
                </c:pt>
                <c:pt idx="11">
                  <c:v>1012.7999999999993</c:v>
                </c:pt>
                <c:pt idx="12">
                  <c:v>-347.14999999999964</c:v>
                </c:pt>
                <c:pt idx="13">
                  <c:v>894.54999999999927</c:v>
                </c:pt>
                <c:pt idx="14">
                  <c:v>161.55000000000109</c:v>
                </c:pt>
                <c:pt idx="15">
                  <c:v>-59.600000000000364</c:v>
                </c:pt>
                <c:pt idx="16">
                  <c:v>951.69999999999891</c:v>
                </c:pt>
                <c:pt idx="17">
                  <c:v>138.70000000000073</c:v>
                </c:pt>
                <c:pt idx="18">
                  <c:v>41.549999999999272</c:v>
                </c:pt>
                <c:pt idx="19">
                  <c:v>1369.1500000000015</c:v>
                </c:pt>
                <c:pt idx="20">
                  <c:v>485.95000000000073</c:v>
                </c:pt>
                <c:pt idx="21">
                  <c:v>53.5</c:v>
                </c:pt>
                <c:pt idx="22">
                  <c:v>-688.45000000000073</c:v>
                </c:pt>
                <c:pt idx="23">
                  <c:v>370.84999999999854</c:v>
                </c:pt>
                <c:pt idx="24">
                  <c:v>-14.200000000000728</c:v>
                </c:pt>
                <c:pt idx="25">
                  <c:v>-545.94999999999709</c:v>
                </c:pt>
                <c:pt idx="26">
                  <c:v>670.84999999999854</c:v>
                </c:pt>
                <c:pt idx="27">
                  <c:v>-362.20000000000073</c:v>
                </c:pt>
                <c:pt idx="28">
                  <c:v>-518</c:v>
                </c:pt>
                <c:pt idx="29">
                  <c:v>-804.29999999999927</c:v>
                </c:pt>
                <c:pt idx="30">
                  <c:v>1378</c:v>
                </c:pt>
                <c:pt idx="31">
                  <c:v>601.04999999999927</c:v>
                </c:pt>
                <c:pt idx="32">
                  <c:v>-664.95000000000073</c:v>
                </c:pt>
                <c:pt idx="33">
                  <c:v>917.85000000000218</c:v>
                </c:pt>
                <c:pt idx="34">
                  <c:v>746.14999999999782</c:v>
                </c:pt>
                <c:pt idx="35">
                  <c:v>-653.04999999999927</c:v>
                </c:pt>
                <c:pt idx="36">
                  <c:v>-443.14999999999782</c:v>
                </c:pt>
                <c:pt idx="37">
                  <c:v>-358.20000000000073</c:v>
                </c:pt>
                <c:pt idx="38">
                  <c:v>55.799999999999272</c:v>
                </c:pt>
                <c:pt idx="39">
                  <c:v>705.25</c:v>
                </c:pt>
                <c:pt idx="40">
                  <c:v>469.40000000000146</c:v>
                </c:pt>
                <c:pt idx="41">
                  <c:v>654.64999999999782</c:v>
                </c:pt>
                <c:pt idx="42">
                  <c:v>564.75</c:v>
                </c:pt>
                <c:pt idx="43">
                  <c:v>-500</c:v>
                </c:pt>
                <c:pt idx="44">
                  <c:v>384.5</c:v>
                </c:pt>
                <c:pt idx="45">
                  <c:v>-558.70000000000073</c:v>
                </c:pt>
                <c:pt idx="46">
                  <c:v>1053.5500000000029</c:v>
                </c:pt>
                <c:pt idx="47">
                  <c:v>1598.25</c:v>
                </c:pt>
                <c:pt idx="48">
                  <c:v>-5.7000000000007276</c:v>
                </c:pt>
                <c:pt idx="49">
                  <c:v>257.09999999999854</c:v>
                </c:pt>
                <c:pt idx="50">
                  <c:v>344.10000000000218</c:v>
                </c:pt>
                <c:pt idx="51">
                  <c:v>277.94999999999709</c:v>
                </c:pt>
                <c:pt idx="52">
                  <c:v>-74.149999999997817</c:v>
                </c:pt>
                <c:pt idx="53">
                  <c:v>1479.8999999999978</c:v>
                </c:pt>
                <c:pt idx="54">
                  <c:v>940.55000000000291</c:v>
                </c:pt>
                <c:pt idx="55">
                  <c:v>284.75</c:v>
                </c:pt>
                <c:pt idx="56">
                  <c:v>574.94999999999709</c:v>
                </c:pt>
                <c:pt idx="57">
                  <c:v>-1605.5</c:v>
                </c:pt>
                <c:pt idx="58">
                  <c:v>-74.25</c:v>
                </c:pt>
                <c:pt idx="59">
                  <c:v>-486.29999999999927</c:v>
                </c:pt>
                <c:pt idx="60">
                  <c:v>-136.39999999999782</c:v>
                </c:pt>
                <c:pt idx="61">
                  <c:v>-1383.7000000000007</c:v>
                </c:pt>
                <c:pt idx="62">
                  <c:v>1394.6499999999978</c:v>
                </c:pt>
                <c:pt idx="63">
                  <c:v>814.85000000000218</c:v>
                </c:pt>
                <c:pt idx="64">
                  <c:v>416.5</c:v>
                </c:pt>
                <c:pt idx="65">
                  <c:v>766.34999999999854</c:v>
                </c:pt>
                <c:pt idx="66">
                  <c:v>-748.70000000000073</c:v>
                </c:pt>
                <c:pt idx="67">
                  <c:v>-341.5</c:v>
                </c:pt>
                <c:pt idx="68">
                  <c:v>184.25</c:v>
                </c:pt>
                <c:pt idx="69">
                  <c:v>1111</c:v>
                </c:pt>
                <c:pt idx="70">
                  <c:v>480.85000000000218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9-485B-96FA-108D4AB1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6751"/>
        <c:axId val="186772351"/>
      </c:lineChart>
      <c:catAx>
        <c:axId val="12276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2351"/>
        <c:crosses val="autoZero"/>
        <c:auto val="1"/>
        <c:lblAlgn val="ctr"/>
        <c:lblOffset val="100"/>
        <c:noMultiLvlLbl val="0"/>
      </c:catAx>
      <c:valAx>
        <c:axId val="18677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USD/INR Exchange Rate</a:t>
            </a:r>
          </a:p>
          <a:p>
            <a:pPr>
              <a:defRPr/>
            </a:pPr>
            <a:r>
              <a:rPr lang="en-IN" sz="1400" b="0" i="0" u="none" strike="noStrike" baseline="0"/>
              <a:t> Level and First Difference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'[1]ADF-Test'!$E$1</c:f>
              <c:strCache>
                <c:ptCount val="1"/>
                <c:pt idx="0">
                  <c:v>INR/USD ExchangeRate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'[1]ADF-Test'!$E$2:$E$72</c:f>
              <c:numCache>
                <c:formatCode>General</c:formatCode>
                <c:ptCount val="71"/>
                <c:pt idx="0">
                  <c:v>71.540000000000006</c:v>
                </c:pt>
                <c:pt idx="1">
                  <c:v>72.534000000000006</c:v>
                </c:pt>
                <c:pt idx="2">
                  <c:v>75.332999999999998</c:v>
                </c:pt>
                <c:pt idx="3">
                  <c:v>75.076999999999998</c:v>
                </c:pt>
                <c:pt idx="4">
                  <c:v>75.59</c:v>
                </c:pt>
                <c:pt idx="5">
                  <c:v>75.540000000000006</c:v>
                </c:pt>
                <c:pt idx="6">
                  <c:v>74.915999999999997</c:v>
                </c:pt>
                <c:pt idx="7">
                  <c:v>73.254000000000005</c:v>
                </c:pt>
                <c:pt idx="8">
                  <c:v>73.56</c:v>
                </c:pt>
                <c:pt idx="9">
                  <c:v>74.554000000000002</c:v>
                </c:pt>
                <c:pt idx="10">
                  <c:v>73.989999999999995</c:v>
                </c:pt>
                <c:pt idx="11">
                  <c:v>73.036000000000001</c:v>
                </c:pt>
                <c:pt idx="12">
                  <c:v>72.876999999999995</c:v>
                </c:pt>
                <c:pt idx="13">
                  <c:v>73.92</c:v>
                </c:pt>
                <c:pt idx="14">
                  <c:v>73.137</c:v>
                </c:pt>
                <c:pt idx="15">
                  <c:v>74.05</c:v>
                </c:pt>
                <c:pt idx="16">
                  <c:v>72.510999999999996</c:v>
                </c:pt>
                <c:pt idx="17">
                  <c:v>74.36</c:v>
                </c:pt>
                <c:pt idx="18">
                  <c:v>74.337000000000003</c:v>
                </c:pt>
                <c:pt idx="19">
                  <c:v>72.947000000000003</c:v>
                </c:pt>
                <c:pt idx="20">
                  <c:v>74.164000000000001</c:v>
                </c:pt>
                <c:pt idx="21">
                  <c:v>74.915000000000006</c:v>
                </c:pt>
                <c:pt idx="22">
                  <c:v>75.09</c:v>
                </c:pt>
                <c:pt idx="23">
                  <c:v>74.466999999999999</c:v>
                </c:pt>
                <c:pt idx="24">
                  <c:v>74.528999999999996</c:v>
                </c:pt>
                <c:pt idx="25">
                  <c:v>75.492999999999995</c:v>
                </c:pt>
                <c:pt idx="26">
                  <c:v>75.900999999999996</c:v>
                </c:pt>
                <c:pt idx="27">
                  <c:v>76.52</c:v>
                </c:pt>
                <c:pt idx="28">
                  <c:v>77.569000000000003</c:v>
                </c:pt>
                <c:pt idx="29">
                  <c:v>78.95</c:v>
                </c:pt>
                <c:pt idx="30">
                  <c:v>79.335999999999999</c:v>
                </c:pt>
                <c:pt idx="31">
                  <c:v>79.491</c:v>
                </c:pt>
                <c:pt idx="32">
                  <c:v>81.509</c:v>
                </c:pt>
                <c:pt idx="33">
                  <c:v>82.77</c:v>
                </c:pt>
                <c:pt idx="34">
                  <c:v>81.358999999999995</c:v>
                </c:pt>
                <c:pt idx="35">
                  <c:v>82.716999999999999</c:v>
                </c:pt>
                <c:pt idx="36">
                  <c:v>81.739000000000004</c:v>
                </c:pt>
                <c:pt idx="37">
                  <c:v>82.64</c:v>
                </c:pt>
                <c:pt idx="38">
                  <c:v>82.16</c:v>
                </c:pt>
                <c:pt idx="39">
                  <c:v>81.72</c:v>
                </c:pt>
                <c:pt idx="40">
                  <c:v>82.68</c:v>
                </c:pt>
                <c:pt idx="41">
                  <c:v>82.090999999999994</c:v>
                </c:pt>
                <c:pt idx="42">
                  <c:v>82.24</c:v>
                </c:pt>
                <c:pt idx="43">
                  <c:v>82.701999999999998</c:v>
                </c:pt>
                <c:pt idx="44">
                  <c:v>83.03</c:v>
                </c:pt>
                <c:pt idx="45">
                  <c:v>83.256</c:v>
                </c:pt>
                <c:pt idx="46">
                  <c:v>83.356999999999999</c:v>
                </c:pt>
                <c:pt idx="47">
                  <c:v>83.19</c:v>
                </c:pt>
                <c:pt idx="48">
                  <c:v>83.094999999999999</c:v>
                </c:pt>
                <c:pt idx="49">
                  <c:v>82.9</c:v>
                </c:pt>
                <c:pt idx="50">
                  <c:v>83.35</c:v>
                </c:pt>
                <c:pt idx="51">
                  <c:v>83.45</c:v>
                </c:pt>
                <c:pt idx="52">
                  <c:v>83.424000000000007</c:v>
                </c:pt>
                <c:pt idx="53">
                  <c:v>83.355000000000004</c:v>
                </c:pt>
                <c:pt idx="54">
                  <c:v>83.698999999999998</c:v>
                </c:pt>
                <c:pt idx="55">
                  <c:v>83.867000000000004</c:v>
                </c:pt>
                <c:pt idx="56">
                  <c:v>83.754999999999995</c:v>
                </c:pt>
                <c:pt idx="57">
                  <c:v>84.061000000000007</c:v>
                </c:pt>
                <c:pt idx="58">
                  <c:v>84.558999999999997</c:v>
                </c:pt>
                <c:pt idx="59">
                  <c:v>85.554000000000002</c:v>
                </c:pt>
                <c:pt idx="60">
                  <c:v>86.561000000000007</c:v>
                </c:pt>
                <c:pt idx="61">
                  <c:v>87.471000000000004</c:v>
                </c:pt>
                <c:pt idx="62">
                  <c:v>85.46</c:v>
                </c:pt>
                <c:pt idx="63">
                  <c:v>84.599000000000004</c:v>
                </c:pt>
                <c:pt idx="64">
                  <c:v>85.525000000000006</c:v>
                </c:pt>
                <c:pt idx="65">
                  <c:v>85.7</c:v>
                </c:pt>
                <c:pt idx="66">
                  <c:v>87.524000000000001</c:v>
                </c:pt>
                <c:pt idx="67">
                  <c:v>88.174000000000007</c:v>
                </c:pt>
                <c:pt idx="68">
                  <c:v>88.840999999999994</c:v>
                </c:pt>
                <c:pt idx="69">
                  <c:v>88.769000000000005</c:v>
                </c:pt>
                <c:pt idx="70">
                  <c:v>89.356999999999999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541-9503-EF5E03100B59}"/>
            </c:ext>
          </c:extLst>
        </c:ser>
        <c:ser>
          <c:idx val="1"/>
          <c:order val="1"/>
          <c:tx>
            <c:strRef>
              <c:f>'[1]ADF-Test'!$I$1</c:f>
              <c:strCache>
                <c:ptCount val="1"/>
                <c:pt idx="0">
                  <c:v>ΔUSDINR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'[1]ADF-Test'!$I$2:$I$72</c:f>
              <c:numCache>
                <c:formatCode>General</c:formatCode>
                <c:ptCount val="71"/>
                <c:pt idx="0">
                  <c:v>0</c:v>
                </c:pt>
                <c:pt idx="1">
                  <c:v>0.99399999999999977</c:v>
                </c:pt>
                <c:pt idx="2">
                  <c:v>2.7989999999999924</c:v>
                </c:pt>
                <c:pt idx="3">
                  <c:v>-0.25600000000000023</c:v>
                </c:pt>
                <c:pt idx="4">
                  <c:v>0.51300000000000523</c:v>
                </c:pt>
                <c:pt idx="5">
                  <c:v>-4.9999999999997158E-2</c:v>
                </c:pt>
                <c:pt idx="6">
                  <c:v>-0.62400000000000944</c:v>
                </c:pt>
                <c:pt idx="7">
                  <c:v>-1.6619999999999919</c:v>
                </c:pt>
                <c:pt idx="8">
                  <c:v>0.30599999999999739</c:v>
                </c:pt>
                <c:pt idx="9">
                  <c:v>0.99399999999999977</c:v>
                </c:pt>
                <c:pt idx="10">
                  <c:v>-0.56400000000000716</c:v>
                </c:pt>
                <c:pt idx="11">
                  <c:v>-0.95399999999999352</c:v>
                </c:pt>
                <c:pt idx="12">
                  <c:v>-0.15900000000000603</c:v>
                </c:pt>
                <c:pt idx="13">
                  <c:v>1.0430000000000064</c:v>
                </c:pt>
                <c:pt idx="14">
                  <c:v>-0.78300000000000125</c:v>
                </c:pt>
                <c:pt idx="15">
                  <c:v>0.9129999999999967</c:v>
                </c:pt>
                <c:pt idx="16">
                  <c:v>-1.5390000000000015</c:v>
                </c:pt>
                <c:pt idx="17">
                  <c:v>1.8490000000000038</c:v>
                </c:pt>
                <c:pt idx="18">
                  <c:v>-2.2999999999996135E-2</c:v>
                </c:pt>
                <c:pt idx="19">
                  <c:v>-1.3900000000000006</c:v>
                </c:pt>
                <c:pt idx="20">
                  <c:v>1.2169999999999987</c:v>
                </c:pt>
                <c:pt idx="21">
                  <c:v>0.75100000000000477</c:v>
                </c:pt>
                <c:pt idx="22">
                  <c:v>0.17499999999999716</c:v>
                </c:pt>
                <c:pt idx="23">
                  <c:v>-0.62300000000000466</c:v>
                </c:pt>
                <c:pt idx="24">
                  <c:v>6.1999999999997613E-2</c:v>
                </c:pt>
                <c:pt idx="25">
                  <c:v>0.96399999999999864</c:v>
                </c:pt>
                <c:pt idx="26">
                  <c:v>0.40800000000000125</c:v>
                </c:pt>
                <c:pt idx="27">
                  <c:v>0.61899999999999977</c:v>
                </c:pt>
                <c:pt idx="28">
                  <c:v>1.0490000000000066</c:v>
                </c:pt>
                <c:pt idx="29">
                  <c:v>1.3810000000000002</c:v>
                </c:pt>
                <c:pt idx="30">
                  <c:v>0.38599999999999568</c:v>
                </c:pt>
                <c:pt idx="31">
                  <c:v>0.15500000000000114</c:v>
                </c:pt>
                <c:pt idx="32">
                  <c:v>2.0180000000000007</c:v>
                </c:pt>
                <c:pt idx="33">
                  <c:v>1.2609999999999957</c:v>
                </c:pt>
                <c:pt idx="34">
                  <c:v>-1.4110000000000014</c:v>
                </c:pt>
                <c:pt idx="35">
                  <c:v>1.3580000000000041</c:v>
                </c:pt>
                <c:pt idx="36">
                  <c:v>-0.97799999999999443</c:v>
                </c:pt>
                <c:pt idx="37">
                  <c:v>0.90099999999999625</c:v>
                </c:pt>
                <c:pt idx="38">
                  <c:v>-0.48000000000000398</c:v>
                </c:pt>
                <c:pt idx="39">
                  <c:v>-0.43999999999999773</c:v>
                </c:pt>
                <c:pt idx="40">
                  <c:v>0.96000000000000796</c:v>
                </c:pt>
                <c:pt idx="41">
                  <c:v>-0.58900000000001285</c:v>
                </c:pt>
                <c:pt idx="42">
                  <c:v>0.14900000000000091</c:v>
                </c:pt>
                <c:pt idx="43">
                  <c:v>0.4620000000000033</c:v>
                </c:pt>
                <c:pt idx="44">
                  <c:v>0.32800000000000296</c:v>
                </c:pt>
                <c:pt idx="45">
                  <c:v>0.22599999999999909</c:v>
                </c:pt>
                <c:pt idx="46">
                  <c:v>0.10099999999999909</c:v>
                </c:pt>
                <c:pt idx="47">
                  <c:v>-0.16700000000000159</c:v>
                </c:pt>
                <c:pt idx="48">
                  <c:v>-9.4999999999998863E-2</c:v>
                </c:pt>
                <c:pt idx="49">
                  <c:v>-0.19499999999999318</c:v>
                </c:pt>
                <c:pt idx="50">
                  <c:v>0.44999999999998863</c:v>
                </c:pt>
                <c:pt idx="51">
                  <c:v>0.10000000000000853</c:v>
                </c:pt>
                <c:pt idx="52">
                  <c:v>-2.5999999999996248E-2</c:v>
                </c:pt>
                <c:pt idx="53">
                  <c:v>-6.9000000000002615E-2</c:v>
                </c:pt>
                <c:pt idx="54">
                  <c:v>0.34399999999999409</c:v>
                </c:pt>
                <c:pt idx="55">
                  <c:v>0.16800000000000637</c:v>
                </c:pt>
                <c:pt idx="56">
                  <c:v>-0.11200000000000898</c:v>
                </c:pt>
                <c:pt idx="57">
                  <c:v>0.3060000000000116</c:v>
                </c:pt>
                <c:pt idx="58">
                  <c:v>0.49799999999999045</c:v>
                </c:pt>
                <c:pt idx="59">
                  <c:v>0.99500000000000455</c:v>
                </c:pt>
                <c:pt idx="60">
                  <c:v>1.007000000000005</c:v>
                </c:pt>
                <c:pt idx="61">
                  <c:v>0.90999999999999659</c:v>
                </c:pt>
                <c:pt idx="62">
                  <c:v>-2.0110000000000099</c:v>
                </c:pt>
                <c:pt idx="63">
                  <c:v>-0.86099999999999</c:v>
                </c:pt>
                <c:pt idx="64">
                  <c:v>0.92600000000000193</c:v>
                </c:pt>
                <c:pt idx="65">
                  <c:v>0.17499999999999716</c:v>
                </c:pt>
                <c:pt idx="66">
                  <c:v>1.8239999999999981</c:v>
                </c:pt>
                <c:pt idx="67">
                  <c:v>0.65000000000000568</c:v>
                </c:pt>
                <c:pt idx="68">
                  <c:v>0.66699999999998738</c:v>
                </c:pt>
                <c:pt idx="69">
                  <c:v>-7.1999999999988518E-2</c:v>
                </c:pt>
                <c:pt idx="70">
                  <c:v>0.58799999999999386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8-4541-9503-EF5E0310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63887"/>
        <c:axId val="142762927"/>
      </c:lineChart>
      <c:catAx>
        <c:axId val="14276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2927"/>
        <c:crosses val="autoZero"/>
        <c:auto val="1"/>
        <c:lblAlgn val="ctr"/>
        <c:lblOffset val="100"/>
        <c:noMultiLvlLbl val="0"/>
      </c:catAx>
      <c:valAx>
        <c:axId val="1427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Gold Prices: Level and First Difference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'[1]ADF-Test'!$C$1</c:f>
              <c:strCache>
                <c:ptCount val="1"/>
                <c:pt idx="0">
                  <c:v>Gold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'[1]ADF-Test'!$C$2:$C$72</c:f>
              <c:numCache>
                <c:formatCode>General</c:formatCode>
                <c:ptCount val="71"/>
                <c:pt idx="0">
                  <c:v>39991.54017</c:v>
                </c:pt>
                <c:pt idx="1">
                  <c:v>41196.719270000001</c:v>
                </c:pt>
                <c:pt idx="2">
                  <c:v>41726.918879999997</c:v>
                </c:pt>
                <c:pt idx="3">
                  <c:v>40988.969429999997</c:v>
                </c:pt>
                <c:pt idx="4">
                  <c:v>40988.969429999997</c:v>
                </c:pt>
                <c:pt idx="5">
                  <c:v>46781.285109999997</c:v>
                </c:pt>
                <c:pt idx="6">
                  <c:v>49912.79277</c:v>
                </c:pt>
                <c:pt idx="7">
                  <c:v>53038.150439999998</c:v>
                </c:pt>
                <c:pt idx="8">
                  <c:v>50901.282030000002</c:v>
                </c:pt>
                <c:pt idx="9">
                  <c:v>50715.532169999999</c:v>
                </c:pt>
                <c:pt idx="10">
                  <c:v>50407.232400000001</c:v>
                </c:pt>
                <c:pt idx="11">
                  <c:v>49467.413099999998</c:v>
                </c:pt>
                <c:pt idx="12">
                  <c:v>49639.122969999997</c:v>
                </c:pt>
                <c:pt idx="13">
                  <c:v>47141.514840000003</c:v>
                </c:pt>
                <c:pt idx="14">
                  <c:v>44649.4467</c:v>
                </c:pt>
                <c:pt idx="15">
                  <c:v>46724.255149999997</c:v>
                </c:pt>
                <c:pt idx="16">
                  <c:v>47889.444280000003</c:v>
                </c:pt>
                <c:pt idx="17">
                  <c:v>47902.914270000001</c:v>
                </c:pt>
                <c:pt idx="18">
                  <c:v>47791.964350000002</c:v>
                </c:pt>
                <c:pt idx="19">
                  <c:v>47097.604870000003</c:v>
                </c:pt>
                <c:pt idx="20">
                  <c:v>46589.055249999998</c:v>
                </c:pt>
                <c:pt idx="21">
                  <c:v>47251.584759999998</c:v>
                </c:pt>
                <c:pt idx="22">
                  <c:v>48162.914080000002</c:v>
                </c:pt>
                <c:pt idx="23">
                  <c:v>47900.134270000002</c:v>
                </c:pt>
                <c:pt idx="24">
                  <c:v>47983.414210000003</c:v>
                </c:pt>
                <c:pt idx="25">
                  <c:v>49279.413240000002</c:v>
                </c:pt>
                <c:pt idx="26">
                  <c:v>51672.351459999998</c:v>
                </c:pt>
                <c:pt idx="27">
                  <c:v>52057.861169999996</c:v>
                </c:pt>
                <c:pt idx="28">
                  <c:v>50887.232040000003</c:v>
                </c:pt>
                <c:pt idx="29">
                  <c:v>50808.822099999998</c:v>
                </c:pt>
                <c:pt idx="30">
                  <c:v>50752.962140000003</c:v>
                </c:pt>
                <c:pt idx="31">
                  <c:v>51635.051489999998</c:v>
                </c:pt>
                <c:pt idx="32">
                  <c:v>49957.012739999998</c:v>
                </c:pt>
                <c:pt idx="33">
                  <c:v>50372.482429999996</c:v>
                </c:pt>
                <c:pt idx="34">
                  <c:v>51843.821329999999</c:v>
                </c:pt>
                <c:pt idx="35">
                  <c:v>53928.689769999997</c:v>
                </c:pt>
                <c:pt idx="36">
                  <c:v>56221.668060000004</c:v>
                </c:pt>
                <c:pt idx="37">
                  <c:v>56655.057739999997</c:v>
                </c:pt>
                <c:pt idx="38">
                  <c:v>57577.527049999997</c:v>
                </c:pt>
                <c:pt idx="39">
                  <c:v>60128.425150000003</c:v>
                </c:pt>
                <c:pt idx="40">
                  <c:v>60551.864829999999</c:v>
                </c:pt>
                <c:pt idx="41">
                  <c:v>59023.005969999998</c:v>
                </c:pt>
                <c:pt idx="42">
                  <c:v>58937.056040000003</c:v>
                </c:pt>
                <c:pt idx="43">
                  <c:v>58722.136200000001</c:v>
                </c:pt>
                <c:pt idx="44">
                  <c:v>58785.386149999998</c:v>
                </c:pt>
                <c:pt idx="45">
                  <c:v>58852.666100000002</c:v>
                </c:pt>
                <c:pt idx="46">
                  <c:v>60769.274669999999</c:v>
                </c:pt>
                <c:pt idx="47">
                  <c:v>62218.703589999997</c:v>
                </c:pt>
                <c:pt idx="48">
                  <c:v>62336.273500000003</c:v>
                </c:pt>
                <c:pt idx="49">
                  <c:v>62030.713730000003</c:v>
                </c:pt>
                <c:pt idx="50">
                  <c:v>65305.701289999997</c:v>
                </c:pt>
                <c:pt idx="51">
                  <c:v>71481.626680000001</c:v>
                </c:pt>
                <c:pt idx="52">
                  <c:v>72180.336160000006</c:v>
                </c:pt>
                <c:pt idx="53">
                  <c:v>71545.746629999994</c:v>
                </c:pt>
                <c:pt idx="54">
                  <c:v>71379.59676</c:v>
                </c:pt>
                <c:pt idx="55">
                  <c:v>70380.707500000004</c:v>
                </c:pt>
                <c:pt idx="56">
                  <c:v>72882.655639999997</c:v>
                </c:pt>
                <c:pt idx="57">
                  <c:v>76706.532779999994</c:v>
                </c:pt>
                <c:pt idx="58">
                  <c:v>76268.423110000003</c:v>
                </c:pt>
                <c:pt idx="59">
                  <c:v>76219.373149999999</c:v>
                </c:pt>
                <c:pt idx="60">
                  <c:v>78634.771349999995</c:v>
                </c:pt>
                <c:pt idx="61">
                  <c:v>85081.936539999995</c:v>
                </c:pt>
                <c:pt idx="62">
                  <c:v>86940.885150000002</c:v>
                </c:pt>
                <c:pt idx="63">
                  <c:v>92838.260750000001</c:v>
                </c:pt>
                <c:pt idx="64">
                  <c:v>94645.979399999997</c:v>
                </c:pt>
                <c:pt idx="65">
                  <c:v>97154.497529999993</c:v>
                </c:pt>
                <c:pt idx="66">
                  <c:v>97560.407229999997</c:v>
                </c:pt>
                <c:pt idx="67">
                  <c:v>99704.675629999998</c:v>
                </c:pt>
                <c:pt idx="68">
                  <c:v>109576.0583</c:v>
                </c:pt>
                <c:pt idx="69">
                  <c:v>122815.22840000001</c:v>
                </c:pt>
                <c:pt idx="70">
                  <c:v>122847.55839999999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9-41C7-9995-D315397707E8}"/>
            </c:ext>
          </c:extLst>
        </c:ser>
        <c:ser>
          <c:idx val="1"/>
          <c:order val="1"/>
          <c:tx>
            <c:strRef>
              <c:f>'[1]ADF-Test'!$G$1</c:f>
              <c:strCache>
                <c:ptCount val="1"/>
                <c:pt idx="0">
                  <c:v>ΔGold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'[1]ADF-Test'!$G$2:$G$72</c:f>
              <c:numCache>
                <c:formatCode>General</c:formatCode>
                <c:ptCount val="71"/>
                <c:pt idx="0">
                  <c:v>0</c:v>
                </c:pt>
                <c:pt idx="1">
                  <c:v>1205.1791000000012</c:v>
                </c:pt>
                <c:pt idx="2">
                  <c:v>530.19960999999603</c:v>
                </c:pt>
                <c:pt idx="3">
                  <c:v>-737.94945000000007</c:v>
                </c:pt>
                <c:pt idx="4">
                  <c:v>0</c:v>
                </c:pt>
                <c:pt idx="5">
                  <c:v>5792.3156799999997</c:v>
                </c:pt>
                <c:pt idx="6">
                  <c:v>3131.5076600000029</c:v>
                </c:pt>
                <c:pt idx="7">
                  <c:v>3125.3576699999976</c:v>
                </c:pt>
                <c:pt idx="8">
                  <c:v>-2136.8684099999955</c:v>
                </c:pt>
                <c:pt idx="9">
                  <c:v>-185.74986000000354</c:v>
                </c:pt>
                <c:pt idx="10">
                  <c:v>-308.29976999999781</c:v>
                </c:pt>
                <c:pt idx="11">
                  <c:v>-939.81930000000284</c:v>
                </c:pt>
                <c:pt idx="12">
                  <c:v>171.70986999999877</c:v>
                </c:pt>
                <c:pt idx="13">
                  <c:v>-2497.6081299999933</c:v>
                </c:pt>
                <c:pt idx="14">
                  <c:v>-2492.068140000003</c:v>
                </c:pt>
                <c:pt idx="15">
                  <c:v>2074.8084499999968</c:v>
                </c:pt>
                <c:pt idx="16">
                  <c:v>1165.1891300000061</c:v>
                </c:pt>
                <c:pt idx="17">
                  <c:v>13.469989999997779</c:v>
                </c:pt>
                <c:pt idx="18">
                  <c:v>-110.94991999999911</c:v>
                </c:pt>
                <c:pt idx="19">
                  <c:v>-694.35947999999917</c:v>
                </c:pt>
                <c:pt idx="20">
                  <c:v>-508.54962000000523</c:v>
                </c:pt>
                <c:pt idx="21">
                  <c:v>662.5295100000003</c:v>
                </c:pt>
                <c:pt idx="22">
                  <c:v>911.32932000000437</c:v>
                </c:pt>
                <c:pt idx="23">
                  <c:v>-262.77981</c:v>
                </c:pt>
                <c:pt idx="24">
                  <c:v>83.279940000000352</c:v>
                </c:pt>
                <c:pt idx="25">
                  <c:v>1295.999029999999</c:v>
                </c:pt>
                <c:pt idx="26">
                  <c:v>2392.9382199999964</c:v>
                </c:pt>
                <c:pt idx="27">
                  <c:v>385.50970999999845</c:v>
                </c:pt>
                <c:pt idx="28">
                  <c:v>-1170.6291299999939</c:v>
                </c:pt>
                <c:pt idx="29">
                  <c:v>-78.409940000005008</c:v>
                </c:pt>
                <c:pt idx="30">
                  <c:v>-55.859959999994317</c:v>
                </c:pt>
                <c:pt idx="31">
                  <c:v>882.08934999999474</c:v>
                </c:pt>
                <c:pt idx="32">
                  <c:v>-1678.0387499999997</c:v>
                </c:pt>
                <c:pt idx="33">
                  <c:v>415.46968999999808</c:v>
                </c:pt>
                <c:pt idx="34">
                  <c:v>1471.3389000000025</c:v>
                </c:pt>
                <c:pt idx="35">
                  <c:v>2084.8684399999984</c:v>
                </c:pt>
                <c:pt idx="36">
                  <c:v>2292.9782900000064</c:v>
                </c:pt>
                <c:pt idx="37">
                  <c:v>433.38967999999295</c:v>
                </c:pt>
                <c:pt idx="38">
                  <c:v>922.46931000000041</c:v>
                </c:pt>
                <c:pt idx="39">
                  <c:v>2550.8981000000058</c:v>
                </c:pt>
                <c:pt idx="40">
                  <c:v>423.43967999999586</c:v>
                </c:pt>
                <c:pt idx="41">
                  <c:v>-1528.8588600000003</c:v>
                </c:pt>
                <c:pt idx="42">
                  <c:v>-85.94992999999522</c:v>
                </c:pt>
                <c:pt idx="43">
                  <c:v>-214.9198400000023</c:v>
                </c:pt>
                <c:pt idx="44">
                  <c:v>63.249949999997625</c:v>
                </c:pt>
                <c:pt idx="45">
                  <c:v>67.279950000003737</c:v>
                </c:pt>
                <c:pt idx="46">
                  <c:v>1916.6085699999967</c:v>
                </c:pt>
                <c:pt idx="47">
                  <c:v>1449.4289199999985</c:v>
                </c:pt>
                <c:pt idx="48">
                  <c:v>117.56991000000562</c:v>
                </c:pt>
                <c:pt idx="49">
                  <c:v>-305.55976999999984</c:v>
                </c:pt>
                <c:pt idx="50">
                  <c:v>3274.9875599999941</c:v>
                </c:pt>
                <c:pt idx="51">
                  <c:v>6175.925390000004</c:v>
                </c:pt>
                <c:pt idx="52">
                  <c:v>698.70948000000499</c:v>
                </c:pt>
                <c:pt idx="53">
                  <c:v>-634.58953000001202</c:v>
                </c:pt>
                <c:pt idx="54">
                  <c:v>-166.14986999999383</c:v>
                </c:pt>
                <c:pt idx="55">
                  <c:v>-998.88925999999628</c:v>
                </c:pt>
                <c:pt idx="56">
                  <c:v>2501.9481399999931</c:v>
                </c:pt>
                <c:pt idx="57">
                  <c:v>3823.8771399999969</c:v>
                </c:pt>
                <c:pt idx="58">
                  <c:v>-438.10966999999073</c:v>
                </c:pt>
                <c:pt idx="59">
                  <c:v>-49.049960000003921</c:v>
                </c:pt>
                <c:pt idx="60">
                  <c:v>2415.398199999996</c:v>
                </c:pt>
                <c:pt idx="61">
                  <c:v>6447.1651899999997</c:v>
                </c:pt>
                <c:pt idx="62">
                  <c:v>1858.9486100000067</c:v>
                </c:pt>
                <c:pt idx="63">
                  <c:v>5897.3755999999994</c:v>
                </c:pt>
                <c:pt idx="64">
                  <c:v>1807.7186499999953</c:v>
                </c:pt>
                <c:pt idx="65">
                  <c:v>2508.5181299999967</c:v>
                </c:pt>
                <c:pt idx="66">
                  <c:v>405.9097000000038</c:v>
                </c:pt>
                <c:pt idx="67">
                  <c:v>2144.2684000000008</c:v>
                </c:pt>
                <c:pt idx="68">
                  <c:v>9871.3826700000063</c:v>
                </c:pt>
                <c:pt idx="69">
                  <c:v>13239.170100000003</c:v>
                </c:pt>
                <c:pt idx="70">
                  <c:v>32.329999999987194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9-41C7-9995-D31539770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76671"/>
        <c:axId val="186782911"/>
      </c:lineChart>
      <c:catAx>
        <c:axId val="18677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82911"/>
        <c:crosses val="autoZero"/>
        <c:auto val="1"/>
        <c:lblAlgn val="ctr"/>
        <c:lblOffset val="100"/>
        <c:noMultiLvlLbl val="0"/>
      </c:catAx>
      <c:valAx>
        <c:axId val="1867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152400</xdr:rowOff>
    </xdr:from>
    <xdr:to>
      <xdr:col>16</xdr:col>
      <xdr:colOff>388620</xdr:colOff>
      <xdr:row>15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038DA0-94BC-4A9E-B094-07C2DEEA6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34</xdr:row>
      <xdr:rowOff>0</xdr:rowOff>
    </xdr:from>
    <xdr:to>
      <xdr:col>16</xdr:col>
      <xdr:colOff>403860</xdr:colOff>
      <xdr:row>49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8DC7ED-9DA6-4B03-91DD-9E485A1AE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121920</xdr:colOff>
      <xdr:row>50</xdr:row>
      <xdr:rowOff>99060</xdr:rowOff>
    </xdr:from>
    <xdr:to>
      <xdr:col>16</xdr:col>
      <xdr:colOff>426720</xdr:colOff>
      <xdr:row>65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799F67-5241-4BC4-B113-5E15B0F32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</xdr:colOff>
      <xdr:row>16</xdr:row>
      <xdr:rowOff>114300</xdr:rowOff>
    </xdr:from>
    <xdr:to>
      <xdr:col>16</xdr:col>
      <xdr:colOff>350520</xdr:colOff>
      <xdr:row>31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04A449-A90F-4EEC-A348-53A2D6065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blic\Tharani\VIT-MS\Semester%204\EA-Project\SecondReview\excel_analysis\ADF-Excel-Analysis.xlsx" TargetMode="External"/><Relationship Id="rId1" Type="http://schemas.openxmlformats.org/officeDocument/2006/relationships/externalLinkPath" Target="ADF-Excel-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ineGraph"/>
      <sheetName val="MA"/>
      <sheetName val="Correlation-GPR-Gold"/>
      <sheetName val="Correlation-GPR-Nifty"/>
      <sheetName val="Correlation-GPR-USDINR"/>
      <sheetName val="ADF-Tes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GPR</v>
          </cell>
          <cell r="C1" t="str">
            <v>Gold Price</v>
          </cell>
          <cell r="D1" t="str">
            <v>Nifty Price</v>
          </cell>
          <cell r="E1" t="str">
            <v>INR/USD ExchangeRate</v>
          </cell>
          <cell r="F1" t="str">
            <v>ΔGPR</v>
          </cell>
          <cell r="G1" t="str">
            <v>ΔGold</v>
          </cell>
          <cell r="H1" t="str">
            <v>ΔNifty</v>
          </cell>
          <cell r="I1" t="str">
            <v>ΔUSDINR</v>
          </cell>
        </row>
        <row r="2">
          <cell r="B2">
            <v>138.42094421386719</v>
          </cell>
          <cell r="C2">
            <v>39991.54017</v>
          </cell>
          <cell r="D2">
            <v>11962.1</v>
          </cell>
          <cell r="E2">
            <v>71.540000000000006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B3">
            <v>75.955558776855469</v>
          </cell>
          <cell r="C3">
            <v>41196.719270000001</v>
          </cell>
          <cell r="D3">
            <v>11201.75</v>
          </cell>
          <cell r="E3">
            <v>72.534000000000006</v>
          </cell>
          <cell r="F3">
            <v>-62.465385437011719</v>
          </cell>
          <cell r="G3">
            <v>1205.1791000000012</v>
          </cell>
          <cell r="H3">
            <v>-760.35000000000036</v>
          </cell>
          <cell r="I3">
            <v>0.99399999999999977</v>
          </cell>
        </row>
        <row r="4">
          <cell r="B4">
            <v>81.540031433105497</v>
          </cell>
          <cell r="C4">
            <v>41726.918879999997</v>
          </cell>
          <cell r="D4">
            <v>8597.75</v>
          </cell>
          <cell r="E4">
            <v>75.332999999999998</v>
          </cell>
          <cell r="F4">
            <v>5.5844726562500284</v>
          </cell>
          <cell r="G4">
            <v>530.19960999999603</v>
          </cell>
          <cell r="H4">
            <v>-2604</v>
          </cell>
          <cell r="I4">
            <v>2.7989999999999924</v>
          </cell>
        </row>
        <row r="5">
          <cell r="B5">
            <v>69.339401245117188</v>
          </cell>
          <cell r="C5">
            <v>40988.969429999997</v>
          </cell>
          <cell r="D5">
            <v>9859.9</v>
          </cell>
          <cell r="E5">
            <v>75.076999999999998</v>
          </cell>
          <cell r="F5">
            <v>-12.20063018798831</v>
          </cell>
          <cell r="G5">
            <v>-737.94945000000007</v>
          </cell>
          <cell r="H5">
            <v>1262.1499999999996</v>
          </cell>
          <cell r="I5">
            <v>-0.25600000000000023</v>
          </cell>
        </row>
        <row r="6">
          <cell r="B6">
            <v>68.507217407226563</v>
          </cell>
          <cell r="C6">
            <v>40988.969429999997</v>
          </cell>
          <cell r="D6">
            <v>9580.2999999999993</v>
          </cell>
          <cell r="E6">
            <v>75.59</v>
          </cell>
          <cell r="F6">
            <v>-0.832183837890625</v>
          </cell>
          <cell r="G6">
            <v>0</v>
          </cell>
          <cell r="H6">
            <v>-279.60000000000036</v>
          </cell>
          <cell r="I6">
            <v>0.51300000000000523</v>
          </cell>
        </row>
        <row r="7">
          <cell r="B7">
            <v>71.227859497070313</v>
          </cell>
          <cell r="C7">
            <v>46781.285109999997</v>
          </cell>
          <cell r="D7">
            <v>10302.1</v>
          </cell>
          <cell r="E7">
            <v>75.540000000000006</v>
          </cell>
          <cell r="F7">
            <v>2.72064208984375</v>
          </cell>
          <cell r="G7">
            <v>5792.3156799999997</v>
          </cell>
          <cell r="H7">
            <v>721.80000000000109</v>
          </cell>
          <cell r="I7">
            <v>-4.9999999999997158E-2</v>
          </cell>
        </row>
        <row r="8">
          <cell r="B8">
            <v>66.473281860351563</v>
          </cell>
          <cell r="C8">
            <v>49912.79277</v>
          </cell>
          <cell r="D8">
            <v>11073.45</v>
          </cell>
          <cell r="E8">
            <v>74.915999999999997</v>
          </cell>
          <cell r="F8">
            <v>-4.75457763671875</v>
          </cell>
          <cell r="G8">
            <v>3131.5076600000029</v>
          </cell>
          <cell r="H8">
            <v>771.35000000000036</v>
          </cell>
          <cell r="I8">
            <v>-0.62400000000000944</v>
          </cell>
        </row>
        <row r="9">
          <cell r="B9">
            <v>65.466049194335938</v>
          </cell>
          <cell r="C9">
            <v>53038.150439999998</v>
          </cell>
          <cell r="D9">
            <v>11387.5</v>
          </cell>
          <cell r="E9">
            <v>73.254000000000005</v>
          </cell>
          <cell r="F9">
            <v>-1.007232666015625</v>
          </cell>
          <cell r="G9">
            <v>3125.3576699999976</v>
          </cell>
          <cell r="H9">
            <v>314.04999999999927</v>
          </cell>
          <cell r="I9">
            <v>-1.6619999999999919</v>
          </cell>
        </row>
        <row r="10">
          <cell r="B10">
            <v>80.37738037109375</v>
          </cell>
          <cell r="C10">
            <v>50901.282030000002</v>
          </cell>
          <cell r="D10">
            <v>11247.55</v>
          </cell>
          <cell r="E10">
            <v>73.56</v>
          </cell>
          <cell r="F10">
            <v>14.911331176757813</v>
          </cell>
          <cell r="G10">
            <v>-2136.8684099999955</v>
          </cell>
          <cell r="H10">
            <v>-139.95000000000073</v>
          </cell>
          <cell r="I10">
            <v>0.30599999999999739</v>
          </cell>
        </row>
        <row r="11">
          <cell r="B11">
            <v>76.083168029785156</v>
          </cell>
          <cell r="C11">
            <v>50715.532169999999</v>
          </cell>
          <cell r="D11">
            <v>11642.4</v>
          </cell>
          <cell r="E11">
            <v>74.554000000000002</v>
          </cell>
          <cell r="F11">
            <v>-4.2942123413085938</v>
          </cell>
          <cell r="G11">
            <v>-185.74986000000354</v>
          </cell>
          <cell r="H11">
            <v>394.85000000000036</v>
          </cell>
          <cell r="I11">
            <v>0.99399999999999977</v>
          </cell>
        </row>
        <row r="12">
          <cell r="B12">
            <v>70.067466735839844</v>
          </cell>
          <cell r="C12">
            <v>50407.232400000001</v>
          </cell>
          <cell r="D12">
            <v>12968.95</v>
          </cell>
          <cell r="E12">
            <v>73.989999999999995</v>
          </cell>
          <cell r="F12">
            <v>-6.0157012939453125</v>
          </cell>
          <cell r="G12">
            <v>-308.29976999999781</v>
          </cell>
          <cell r="H12">
            <v>1326.5500000000011</v>
          </cell>
          <cell r="I12">
            <v>-0.56400000000000716</v>
          </cell>
        </row>
        <row r="13">
          <cell r="B13">
            <v>64.067291259765625</v>
          </cell>
          <cell r="C13">
            <v>49467.413099999998</v>
          </cell>
          <cell r="D13">
            <v>13981.75</v>
          </cell>
          <cell r="E13">
            <v>73.036000000000001</v>
          </cell>
          <cell r="F13">
            <v>-6.0001754760742188</v>
          </cell>
          <cell r="G13">
            <v>-939.81930000000284</v>
          </cell>
          <cell r="H13">
            <v>1012.7999999999993</v>
          </cell>
          <cell r="I13">
            <v>-0.95399999999999352</v>
          </cell>
        </row>
        <row r="14">
          <cell r="B14">
            <v>77.418701171875</v>
          </cell>
          <cell r="C14">
            <v>49639.122969999997</v>
          </cell>
          <cell r="D14">
            <v>13634.6</v>
          </cell>
          <cell r="E14">
            <v>72.876999999999995</v>
          </cell>
          <cell r="F14">
            <v>13.351409912109375</v>
          </cell>
          <cell r="G14">
            <v>171.70986999999877</v>
          </cell>
          <cell r="H14">
            <v>-347.14999999999964</v>
          </cell>
          <cell r="I14">
            <v>-0.15900000000000603</v>
          </cell>
        </row>
        <row r="15">
          <cell r="B15">
            <v>73.956802368164063</v>
          </cell>
          <cell r="C15">
            <v>47141.514840000003</v>
          </cell>
          <cell r="D15">
            <v>14529.15</v>
          </cell>
          <cell r="E15">
            <v>73.92</v>
          </cell>
          <cell r="F15">
            <v>-3.4618988037109375</v>
          </cell>
          <cell r="G15">
            <v>-2497.6081299999933</v>
          </cell>
          <cell r="H15">
            <v>894.54999999999927</v>
          </cell>
          <cell r="I15">
            <v>1.0430000000000064</v>
          </cell>
        </row>
        <row r="16">
          <cell r="B16">
            <v>78.618766784667969</v>
          </cell>
          <cell r="C16">
            <v>44649.4467</v>
          </cell>
          <cell r="D16">
            <v>14690.7</v>
          </cell>
          <cell r="E16">
            <v>73.137</v>
          </cell>
          <cell r="F16">
            <v>4.6619644165039063</v>
          </cell>
          <cell r="G16">
            <v>-2492.068140000003</v>
          </cell>
          <cell r="H16">
            <v>161.55000000000109</v>
          </cell>
          <cell r="I16">
            <v>-0.78300000000000125</v>
          </cell>
        </row>
        <row r="17">
          <cell r="B17">
            <v>88.166221618652344</v>
          </cell>
          <cell r="C17">
            <v>46724.255149999997</v>
          </cell>
          <cell r="D17">
            <v>14631.1</v>
          </cell>
          <cell r="E17">
            <v>74.05</v>
          </cell>
          <cell r="F17">
            <v>9.547454833984375</v>
          </cell>
          <cell r="G17">
            <v>2074.8084499999968</v>
          </cell>
          <cell r="H17">
            <v>-59.600000000000364</v>
          </cell>
          <cell r="I17">
            <v>0.9129999999999967</v>
          </cell>
        </row>
        <row r="18">
          <cell r="B18">
            <v>93.007133483886719</v>
          </cell>
          <cell r="C18">
            <v>47889.444280000003</v>
          </cell>
          <cell r="D18">
            <v>15582.8</v>
          </cell>
          <cell r="E18">
            <v>72.510999999999996</v>
          </cell>
          <cell r="F18">
            <v>4.840911865234375</v>
          </cell>
          <cell r="G18">
            <v>1165.1891300000061</v>
          </cell>
          <cell r="H18">
            <v>951.69999999999891</v>
          </cell>
          <cell r="I18">
            <v>-1.5390000000000015</v>
          </cell>
        </row>
        <row r="19">
          <cell r="B19">
            <v>74.127120971679688</v>
          </cell>
          <cell r="C19">
            <v>47902.914270000001</v>
          </cell>
          <cell r="D19">
            <v>15721.5</v>
          </cell>
          <cell r="E19">
            <v>74.36</v>
          </cell>
          <cell r="F19">
            <v>-18.880012512207031</v>
          </cell>
          <cell r="G19">
            <v>13.469989999997779</v>
          </cell>
          <cell r="H19">
            <v>138.70000000000073</v>
          </cell>
          <cell r="I19">
            <v>1.8490000000000038</v>
          </cell>
        </row>
        <row r="20">
          <cell r="B20">
            <v>58.420768737792969</v>
          </cell>
          <cell r="C20">
            <v>47791.964350000002</v>
          </cell>
          <cell r="D20">
            <v>15763.05</v>
          </cell>
          <cell r="E20">
            <v>74.337000000000003</v>
          </cell>
          <cell r="F20">
            <v>-15.706352233886719</v>
          </cell>
          <cell r="G20">
            <v>-110.94991999999911</v>
          </cell>
          <cell r="H20">
            <v>41.549999999999272</v>
          </cell>
          <cell r="I20">
            <v>-2.2999999999996135E-2</v>
          </cell>
        </row>
        <row r="21">
          <cell r="B21">
            <v>89.486549377441406</v>
          </cell>
          <cell r="C21">
            <v>47097.604870000003</v>
          </cell>
          <cell r="D21">
            <v>17132.2</v>
          </cell>
          <cell r="E21">
            <v>72.947000000000003</v>
          </cell>
          <cell r="F21">
            <v>31.065780639648438</v>
          </cell>
          <cell r="G21">
            <v>-694.35947999999917</v>
          </cell>
          <cell r="H21">
            <v>1369.1500000000015</v>
          </cell>
          <cell r="I21">
            <v>-1.3900000000000006</v>
          </cell>
        </row>
        <row r="22">
          <cell r="B22">
            <v>80.696968078613281</v>
          </cell>
          <cell r="C22">
            <v>46589.055249999998</v>
          </cell>
          <cell r="D22">
            <v>17618.150000000001</v>
          </cell>
          <cell r="E22">
            <v>74.164000000000001</v>
          </cell>
          <cell r="F22">
            <v>-8.789581298828125</v>
          </cell>
          <cell r="G22">
            <v>-508.54962000000523</v>
          </cell>
          <cell r="H22">
            <v>485.95000000000073</v>
          </cell>
          <cell r="I22">
            <v>1.2169999999999987</v>
          </cell>
        </row>
        <row r="23">
          <cell r="B23">
            <v>79.02923583984375</v>
          </cell>
          <cell r="C23">
            <v>47251.584759999998</v>
          </cell>
          <cell r="D23">
            <v>17671.650000000001</v>
          </cell>
          <cell r="E23">
            <v>74.915000000000006</v>
          </cell>
          <cell r="F23">
            <v>-1.6677322387695313</v>
          </cell>
          <cell r="G23">
            <v>662.5295100000003</v>
          </cell>
          <cell r="H23">
            <v>53.5</v>
          </cell>
          <cell r="I23">
            <v>0.75100000000000477</v>
          </cell>
        </row>
        <row r="24">
          <cell r="B24">
            <v>86.569145202636719</v>
          </cell>
          <cell r="C24">
            <v>48162.914080000002</v>
          </cell>
          <cell r="D24">
            <v>16983.2</v>
          </cell>
          <cell r="E24">
            <v>75.09</v>
          </cell>
          <cell r="F24">
            <v>7.5399093627929688</v>
          </cell>
          <cell r="G24">
            <v>911.32932000000437</v>
          </cell>
          <cell r="H24">
            <v>-688.45000000000073</v>
          </cell>
          <cell r="I24">
            <v>0.17499999999999716</v>
          </cell>
        </row>
        <row r="25">
          <cell r="B25">
            <v>105.34542083740234</v>
          </cell>
          <cell r="C25">
            <v>47900.134270000002</v>
          </cell>
          <cell r="D25">
            <v>17354.05</v>
          </cell>
          <cell r="E25">
            <v>74.466999999999999</v>
          </cell>
          <cell r="F25">
            <v>18.776275634765625</v>
          </cell>
          <cell r="G25">
            <v>-262.77981</v>
          </cell>
          <cell r="H25">
            <v>370.84999999999854</v>
          </cell>
          <cell r="I25">
            <v>-0.62300000000000466</v>
          </cell>
        </row>
        <row r="26">
          <cell r="B26">
            <v>138.67498779296875</v>
          </cell>
          <cell r="C26">
            <v>47983.414210000003</v>
          </cell>
          <cell r="D26">
            <v>17339.849999999999</v>
          </cell>
          <cell r="E26">
            <v>74.528999999999996</v>
          </cell>
          <cell r="F26">
            <v>33.329566955566406</v>
          </cell>
          <cell r="G26">
            <v>83.279940000000352</v>
          </cell>
          <cell r="H26">
            <v>-14.200000000000728</v>
          </cell>
          <cell r="I26">
            <v>6.1999999999997613E-2</v>
          </cell>
        </row>
        <row r="27">
          <cell r="B27">
            <v>216.15901184082031</v>
          </cell>
          <cell r="C27">
            <v>49279.413240000002</v>
          </cell>
          <cell r="D27">
            <v>16793.900000000001</v>
          </cell>
          <cell r="E27">
            <v>75.492999999999995</v>
          </cell>
          <cell r="F27">
            <v>77.484024047851563</v>
          </cell>
          <cell r="G27">
            <v>1295.999029999999</v>
          </cell>
          <cell r="H27">
            <v>-545.94999999999709</v>
          </cell>
          <cell r="I27">
            <v>0.96399999999999864</v>
          </cell>
        </row>
        <row r="28">
          <cell r="B28">
            <v>318.95492553710938</v>
          </cell>
          <cell r="C28">
            <v>51672.351459999998</v>
          </cell>
          <cell r="D28">
            <v>17464.75</v>
          </cell>
          <cell r="E28">
            <v>75.900999999999996</v>
          </cell>
          <cell r="F28">
            <v>102.79591369628906</v>
          </cell>
          <cell r="G28">
            <v>2392.9382199999964</v>
          </cell>
          <cell r="H28">
            <v>670.84999999999854</v>
          </cell>
          <cell r="I28">
            <v>0.40800000000000125</v>
          </cell>
        </row>
        <row r="29">
          <cell r="B29">
            <v>191.14309692382813</v>
          </cell>
          <cell r="C29">
            <v>52057.861169999996</v>
          </cell>
          <cell r="D29">
            <v>17102.55</v>
          </cell>
          <cell r="E29">
            <v>76.52</v>
          </cell>
          <cell r="F29">
            <v>-127.81182861328125</v>
          </cell>
          <cell r="G29">
            <v>385.50970999999845</v>
          </cell>
          <cell r="H29">
            <v>-362.20000000000073</v>
          </cell>
          <cell r="I29">
            <v>0.61899999999999977</v>
          </cell>
        </row>
        <row r="30">
          <cell r="B30">
            <v>142.25848388671875</v>
          </cell>
          <cell r="C30">
            <v>50887.232040000003</v>
          </cell>
          <cell r="D30">
            <v>16584.55</v>
          </cell>
          <cell r="E30">
            <v>77.569000000000003</v>
          </cell>
          <cell r="F30">
            <v>-48.884613037109375</v>
          </cell>
          <cell r="G30">
            <v>-1170.6291299999939</v>
          </cell>
          <cell r="H30">
            <v>-518</v>
          </cell>
          <cell r="I30">
            <v>1.0490000000000066</v>
          </cell>
        </row>
        <row r="31">
          <cell r="B31">
            <v>130.70732116699219</v>
          </cell>
          <cell r="C31">
            <v>50808.822099999998</v>
          </cell>
          <cell r="D31">
            <v>15780.25</v>
          </cell>
          <cell r="E31">
            <v>78.95</v>
          </cell>
          <cell r="F31">
            <v>-11.551162719726563</v>
          </cell>
          <cell r="G31">
            <v>-78.409940000005008</v>
          </cell>
          <cell r="H31">
            <v>-804.29999999999927</v>
          </cell>
          <cell r="I31">
            <v>1.3810000000000002</v>
          </cell>
        </row>
        <row r="32">
          <cell r="B32">
            <v>117.17676544189453</v>
          </cell>
          <cell r="C32">
            <v>50752.962140000003</v>
          </cell>
          <cell r="D32">
            <v>17158.25</v>
          </cell>
          <cell r="E32">
            <v>79.335999999999999</v>
          </cell>
          <cell r="F32">
            <v>-13.530555725097656</v>
          </cell>
          <cell r="G32">
            <v>-55.859959999994317</v>
          </cell>
          <cell r="H32">
            <v>1378</v>
          </cell>
          <cell r="I32">
            <v>0.38599999999999568</v>
          </cell>
        </row>
        <row r="33">
          <cell r="B33">
            <v>132.86322021484375</v>
          </cell>
          <cell r="C33">
            <v>51635.051489999998</v>
          </cell>
          <cell r="D33">
            <v>17759.3</v>
          </cell>
          <cell r="E33">
            <v>79.491</v>
          </cell>
          <cell r="F33">
            <v>15.686454772949219</v>
          </cell>
          <cell r="G33">
            <v>882.08934999999474</v>
          </cell>
          <cell r="H33">
            <v>601.04999999999927</v>
          </cell>
          <cell r="I33">
            <v>0.15500000000000114</v>
          </cell>
        </row>
        <row r="34">
          <cell r="B34">
            <v>131.98587036132813</v>
          </cell>
          <cell r="C34">
            <v>49957.012739999998</v>
          </cell>
          <cell r="D34">
            <v>17094.349999999999</v>
          </cell>
          <cell r="E34">
            <v>81.509</v>
          </cell>
          <cell r="F34">
            <v>-0.877349853515625</v>
          </cell>
          <cell r="G34">
            <v>-1678.0387499999997</v>
          </cell>
          <cell r="H34">
            <v>-664.95000000000073</v>
          </cell>
          <cell r="I34">
            <v>2.0180000000000007</v>
          </cell>
        </row>
        <row r="35">
          <cell r="B35">
            <v>143.16241455078125</v>
          </cell>
          <cell r="C35">
            <v>50372.482429999996</v>
          </cell>
          <cell r="D35">
            <v>18012.2</v>
          </cell>
          <cell r="E35">
            <v>82.77</v>
          </cell>
          <cell r="F35">
            <v>11.176544189453125</v>
          </cell>
          <cell r="G35">
            <v>415.46968999999808</v>
          </cell>
          <cell r="H35">
            <v>917.85000000000218</v>
          </cell>
          <cell r="I35">
            <v>1.2609999999999957</v>
          </cell>
        </row>
        <row r="36">
          <cell r="B36">
            <v>116.71628570556641</v>
          </cell>
          <cell r="C36">
            <v>51843.821329999999</v>
          </cell>
          <cell r="D36">
            <v>18758.349999999999</v>
          </cell>
          <cell r="E36">
            <v>81.358999999999995</v>
          </cell>
          <cell r="F36">
            <v>-26.446128845214844</v>
          </cell>
          <cell r="G36">
            <v>1471.3389000000025</v>
          </cell>
          <cell r="H36">
            <v>746.14999999999782</v>
          </cell>
          <cell r="I36">
            <v>-1.4110000000000014</v>
          </cell>
        </row>
        <row r="37">
          <cell r="B37">
            <v>111.19593811035156</v>
          </cell>
          <cell r="C37">
            <v>53928.689769999997</v>
          </cell>
          <cell r="D37">
            <v>18105.3</v>
          </cell>
          <cell r="E37">
            <v>82.716999999999999</v>
          </cell>
          <cell r="F37">
            <v>-5.5203475952148438</v>
          </cell>
          <cell r="G37">
            <v>2084.8684399999984</v>
          </cell>
          <cell r="H37">
            <v>-653.04999999999927</v>
          </cell>
          <cell r="I37">
            <v>1.3580000000000041</v>
          </cell>
        </row>
        <row r="38">
          <cell r="B38">
            <v>104.26704406738281</v>
          </cell>
          <cell r="C38">
            <v>56221.668060000004</v>
          </cell>
          <cell r="D38">
            <v>17662.150000000001</v>
          </cell>
          <cell r="E38">
            <v>81.739000000000004</v>
          </cell>
          <cell r="F38">
            <v>-6.92889404296875</v>
          </cell>
          <cell r="G38">
            <v>2292.9782900000064</v>
          </cell>
          <cell r="H38">
            <v>-443.14999999999782</v>
          </cell>
          <cell r="I38">
            <v>-0.97799999999999443</v>
          </cell>
        </row>
        <row r="39">
          <cell r="B39">
            <v>120.99437713623047</v>
          </cell>
          <cell r="C39">
            <v>56655.057739999997</v>
          </cell>
          <cell r="D39">
            <v>17303.95</v>
          </cell>
          <cell r="E39">
            <v>82.64</v>
          </cell>
          <cell r="F39">
            <v>16.727333068847656</v>
          </cell>
          <cell r="G39">
            <v>433.38967999999295</v>
          </cell>
          <cell r="H39">
            <v>-358.20000000000073</v>
          </cell>
          <cell r="I39">
            <v>0.90099999999999625</v>
          </cell>
        </row>
        <row r="40">
          <cell r="B40">
            <v>105.37997436523438</v>
          </cell>
          <cell r="C40">
            <v>57577.527049999997</v>
          </cell>
          <cell r="D40">
            <v>17359.75</v>
          </cell>
          <cell r="E40">
            <v>82.16</v>
          </cell>
          <cell r="F40">
            <v>-15.614402770996094</v>
          </cell>
          <cell r="G40">
            <v>922.46931000000041</v>
          </cell>
          <cell r="H40">
            <v>55.799999999999272</v>
          </cell>
          <cell r="I40">
            <v>-0.48000000000000398</v>
          </cell>
        </row>
        <row r="41">
          <cell r="B41">
            <v>106.80965423583984</v>
          </cell>
          <cell r="C41">
            <v>60128.425150000003</v>
          </cell>
          <cell r="D41">
            <v>18065</v>
          </cell>
          <cell r="E41">
            <v>81.72</v>
          </cell>
          <cell r="F41">
            <v>1.4296798706054688</v>
          </cell>
          <cell r="G41">
            <v>2550.8981000000058</v>
          </cell>
          <cell r="H41">
            <v>705.25</v>
          </cell>
          <cell r="I41">
            <v>-0.43999999999999773</v>
          </cell>
        </row>
        <row r="42">
          <cell r="B42">
            <v>108.46768188476563</v>
          </cell>
          <cell r="C42">
            <v>60551.864829999999</v>
          </cell>
          <cell r="D42">
            <v>18534.400000000001</v>
          </cell>
          <cell r="E42">
            <v>82.68</v>
          </cell>
          <cell r="F42">
            <v>1.6580276489257813</v>
          </cell>
          <cell r="G42">
            <v>423.43967999999586</v>
          </cell>
          <cell r="H42">
            <v>469.40000000000146</v>
          </cell>
          <cell r="I42">
            <v>0.96000000000000796</v>
          </cell>
        </row>
        <row r="43">
          <cell r="B43">
            <v>110.52894592285156</v>
          </cell>
          <cell r="C43">
            <v>59023.005969999998</v>
          </cell>
          <cell r="D43">
            <v>19189.05</v>
          </cell>
          <cell r="E43">
            <v>82.090999999999994</v>
          </cell>
          <cell r="F43">
            <v>2.0612640380859375</v>
          </cell>
          <cell r="G43">
            <v>-1528.8588600000003</v>
          </cell>
          <cell r="H43">
            <v>654.64999999999782</v>
          </cell>
          <cell r="I43">
            <v>-0.58900000000001285</v>
          </cell>
        </row>
        <row r="44">
          <cell r="B44">
            <v>107.44878387451172</v>
          </cell>
          <cell r="C44">
            <v>58937.056040000003</v>
          </cell>
          <cell r="D44">
            <v>19753.8</v>
          </cell>
          <cell r="E44">
            <v>82.24</v>
          </cell>
          <cell r="F44">
            <v>-3.0801620483398438</v>
          </cell>
          <cell r="G44">
            <v>-85.94992999999522</v>
          </cell>
          <cell r="H44">
            <v>564.75</v>
          </cell>
          <cell r="I44">
            <v>0.14900000000000091</v>
          </cell>
        </row>
        <row r="45">
          <cell r="B45">
            <v>101.14118194580078</v>
          </cell>
          <cell r="C45">
            <v>58722.136200000001</v>
          </cell>
          <cell r="D45">
            <v>19253.8</v>
          </cell>
          <cell r="E45">
            <v>82.701999999999998</v>
          </cell>
          <cell r="F45">
            <v>-6.3076019287109375</v>
          </cell>
          <cell r="G45">
            <v>-214.9198400000023</v>
          </cell>
          <cell r="H45">
            <v>-500</v>
          </cell>
          <cell r="I45">
            <v>0.4620000000000033</v>
          </cell>
        </row>
        <row r="46">
          <cell r="B46">
            <v>98.634811401367188</v>
          </cell>
          <cell r="C46">
            <v>58785.386149999998</v>
          </cell>
          <cell r="D46">
            <v>19638.3</v>
          </cell>
          <cell r="E46">
            <v>83.03</v>
          </cell>
          <cell r="F46">
            <v>-2.5063705444335938</v>
          </cell>
          <cell r="G46">
            <v>63.249949999997625</v>
          </cell>
          <cell r="H46">
            <v>384.5</v>
          </cell>
          <cell r="I46">
            <v>0.32800000000000296</v>
          </cell>
        </row>
        <row r="47">
          <cell r="B47">
            <v>197.88700866699219</v>
          </cell>
          <cell r="C47">
            <v>58852.666100000002</v>
          </cell>
          <cell r="D47">
            <v>19079.599999999999</v>
          </cell>
          <cell r="E47">
            <v>83.256</v>
          </cell>
          <cell r="F47">
            <v>99.252197265625</v>
          </cell>
          <cell r="G47">
            <v>67.279950000003737</v>
          </cell>
          <cell r="H47">
            <v>-558.70000000000073</v>
          </cell>
          <cell r="I47">
            <v>0.22599999999999909</v>
          </cell>
        </row>
        <row r="48">
          <cell r="B48">
            <v>156.69613647460938</v>
          </cell>
          <cell r="C48">
            <v>60769.274669999999</v>
          </cell>
          <cell r="D48">
            <v>20133.150000000001</v>
          </cell>
          <cell r="E48">
            <v>83.356999999999999</v>
          </cell>
          <cell r="F48">
            <v>-41.190872192382813</v>
          </cell>
          <cell r="G48">
            <v>1916.6085699999967</v>
          </cell>
          <cell r="H48">
            <v>1053.5500000000029</v>
          </cell>
          <cell r="I48">
            <v>0.10099999999999909</v>
          </cell>
        </row>
        <row r="49">
          <cell r="B49">
            <v>142.27946472167969</v>
          </cell>
          <cell r="C49">
            <v>62218.703589999997</v>
          </cell>
          <cell r="D49">
            <v>21731.4</v>
          </cell>
          <cell r="E49">
            <v>83.19</v>
          </cell>
          <cell r="F49">
            <v>-14.416671752929688</v>
          </cell>
          <cell r="G49">
            <v>1449.4289199999985</v>
          </cell>
          <cell r="H49">
            <v>1598.25</v>
          </cell>
          <cell r="I49">
            <v>-0.16700000000000159</v>
          </cell>
        </row>
        <row r="50">
          <cell r="B50">
            <v>160.3736572265625</v>
          </cell>
          <cell r="C50">
            <v>62336.273500000003</v>
          </cell>
          <cell r="D50">
            <v>21725.7</v>
          </cell>
          <cell r="E50">
            <v>83.094999999999999</v>
          </cell>
          <cell r="F50">
            <v>18.094192504882813</v>
          </cell>
          <cell r="G50">
            <v>117.56991000000562</v>
          </cell>
          <cell r="H50">
            <v>-5.7000000000007276</v>
          </cell>
          <cell r="I50">
            <v>-9.4999999999998863E-2</v>
          </cell>
        </row>
        <row r="51">
          <cell r="B51">
            <v>146.59817504882813</v>
          </cell>
          <cell r="C51">
            <v>62030.713730000003</v>
          </cell>
          <cell r="D51">
            <v>21982.799999999999</v>
          </cell>
          <cell r="E51">
            <v>82.9</v>
          </cell>
          <cell r="F51">
            <v>-13.775482177734375</v>
          </cell>
          <cell r="G51">
            <v>-305.55976999999984</v>
          </cell>
          <cell r="H51">
            <v>257.09999999999854</v>
          </cell>
          <cell r="I51">
            <v>-0.19499999999999318</v>
          </cell>
        </row>
        <row r="52">
          <cell r="B52">
            <v>133.21316528320313</v>
          </cell>
          <cell r="C52">
            <v>65305.701289999997</v>
          </cell>
          <cell r="D52">
            <v>22326.9</v>
          </cell>
          <cell r="E52">
            <v>83.35</v>
          </cell>
          <cell r="F52">
            <v>-13.385009765625</v>
          </cell>
          <cell r="G52">
            <v>3274.9875599999941</v>
          </cell>
          <cell r="H52">
            <v>344.10000000000218</v>
          </cell>
          <cell r="I52">
            <v>0.44999999999998863</v>
          </cell>
        </row>
        <row r="53">
          <cell r="B53">
            <v>163.94734191894531</v>
          </cell>
          <cell r="C53">
            <v>71481.626680000001</v>
          </cell>
          <cell r="D53">
            <v>22604.85</v>
          </cell>
          <cell r="E53">
            <v>83.45</v>
          </cell>
          <cell r="F53">
            <v>30.734176635742188</v>
          </cell>
          <cell r="G53">
            <v>6175.925390000004</v>
          </cell>
          <cell r="H53">
            <v>277.94999999999709</v>
          </cell>
          <cell r="I53">
            <v>0.10000000000000853</v>
          </cell>
        </row>
        <row r="54">
          <cell r="B54">
            <v>130.52186584472656</v>
          </cell>
          <cell r="C54">
            <v>72180.336160000006</v>
          </cell>
          <cell r="D54">
            <v>22530.7</v>
          </cell>
          <cell r="E54">
            <v>83.424000000000007</v>
          </cell>
          <cell r="F54">
            <v>-33.42547607421875</v>
          </cell>
          <cell r="G54">
            <v>698.70948000000499</v>
          </cell>
          <cell r="H54">
            <v>-74.149999999997817</v>
          </cell>
          <cell r="I54">
            <v>-2.5999999999996248E-2</v>
          </cell>
        </row>
        <row r="55">
          <cell r="B55">
            <v>113.09279632568359</v>
          </cell>
          <cell r="C55">
            <v>71545.746629999994</v>
          </cell>
          <cell r="D55">
            <v>24010.6</v>
          </cell>
          <cell r="E55">
            <v>83.355000000000004</v>
          </cell>
          <cell r="F55">
            <v>-17.429069519042969</v>
          </cell>
          <cell r="G55">
            <v>-634.58953000001202</v>
          </cell>
          <cell r="H55">
            <v>1479.8999999999978</v>
          </cell>
          <cell r="I55">
            <v>-6.9000000000002615E-2</v>
          </cell>
        </row>
        <row r="56">
          <cell r="B56">
            <v>92.394874572753906</v>
          </cell>
          <cell r="C56">
            <v>71379.59676</v>
          </cell>
          <cell r="D56">
            <v>24951.15</v>
          </cell>
          <cell r="E56">
            <v>83.698999999999998</v>
          </cell>
          <cell r="F56">
            <v>-20.697921752929688</v>
          </cell>
          <cell r="G56">
            <v>-166.14986999999383</v>
          </cell>
          <cell r="H56">
            <v>940.55000000000291</v>
          </cell>
          <cell r="I56">
            <v>0.34399999999999409</v>
          </cell>
        </row>
        <row r="57">
          <cell r="B57">
            <v>140.97506713867188</v>
          </cell>
          <cell r="C57">
            <v>70380.707500000004</v>
          </cell>
          <cell r="D57">
            <v>25235.9</v>
          </cell>
          <cell r="E57">
            <v>83.867000000000004</v>
          </cell>
          <cell r="F57">
            <v>48.580192565917969</v>
          </cell>
          <cell r="G57">
            <v>-998.88925999999628</v>
          </cell>
          <cell r="H57">
            <v>284.75</v>
          </cell>
          <cell r="I57">
            <v>0.16800000000000637</v>
          </cell>
        </row>
        <row r="58">
          <cell r="B58">
            <v>130.35877990722656</v>
          </cell>
          <cell r="C58">
            <v>72882.655639999997</v>
          </cell>
          <cell r="D58">
            <v>25810.85</v>
          </cell>
          <cell r="E58">
            <v>83.754999999999995</v>
          </cell>
          <cell r="F58">
            <v>-10.616287231445313</v>
          </cell>
          <cell r="G58">
            <v>2501.9481399999931</v>
          </cell>
          <cell r="H58">
            <v>574.94999999999709</v>
          </cell>
          <cell r="I58">
            <v>-0.11200000000000898</v>
          </cell>
        </row>
        <row r="59">
          <cell r="B59">
            <v>130.689208984375</v>
          </cell>
          <cell r="C59">
            <v>76706.532779999994</v>
          </cell>
          <cell r="D59">
            <v>24205.35</v>
          </cell>
          <cell r="E59">
            <v>84.061000000000007</v>
          </cell>
          <cell r="F59">
            <v>0.3304290771484375</v>
          </cell>
          <cell r="G59">
            <v>3823.8771399999969</v>
          </cell>
          <cell r="H59">
            <v>-1605.5</v>
          </cell>
          <cell r="I59">
            <v>0.3060000000000116</v>
          </cell>
        </row>
        <row r="60">
          <cell r="B60">
            <v>128.90164184570313</v>
          </cell>
          <cell r="C60">
            <v>76268.423110000003</v>
          </cell>
          <cell r="D60">
            <v>24131.1</v>
          </cell>
          <cell r="E60">
            <v>84.558999999999997</v>
          </cell>
          <cell r="F60">
            <v>-1.787567138671875</v>
          </cell>
          <cell r="G60">
            <v>-438.10966999999073</v>
          </cell>
          <cell r="H60">
            <v>-74.25</v>
          </cell>
          <cell r="I60">
            <v>0.49799999999999045</v>
          </cell>
        </row>
        <row r="61">
          <cell r="B61">
            <v>142.36643981933594</v>
          </cell>
          <cell r="C61">
            <v>76219.373149999999</v>
          </cell>
          <cell r="D61">
            <v>23644.799999999999</v>
          </cell>
          <cell r="E61">
            <v>85.554000000000002</v>
          </cell>
          <cell r="F61">
            <v>13.464797973632813</v>
          </cell>
          <cell r="G61">
            <v>-49.049960000003921</v>
          </cell>
          <cell r="H61">
            <v>-486.29999999999927</v>
          </cell>
          <cell r="I61">
            <v>0.99500000000000455</v>
          </cell>
        </row>
        <row r="62">
          <cell r="B62">
            <v>112.33326721191406</v>
          </cell>
          <cell r="C62">
            <v>78634.771349999995</v>
          </cell>
          <cell r="D62">
            <v>23508.400000000001</v>
          </cell>
          <cell r="E62">
            <v>86.561000000000007</v>
          </cell>
          <cell r="F62">
            <v>-30.033172607421875</v>
          </cell>
          <cell r="G62">
            <v>2415.398199999996</v>
          </cell>
          <cell r="H62">
            <v>-136.39999999999782</v>
          </cell>
          <cell r="I62">
            <v>1.007000000000005</v>
          </cell>
        </row>
        <row r="63">
          <cell r="B63">
            <v>136.42637634277344</v>
          </cell>
          <cell r="C63">
            <v>85081.936539999995</v>
          </cell>
          <cell r="D63">
            <v>22124.7</v>
          </cell>
          <cell r="E63">
            <v>87.471000000000004</v>
          </cell>
          <cell r="F63">
            <v>24.093109130859375</v>
          </cell>
          <cell r="G63">
            <v>6447.1651899999997</v>
          </cell>
          <cell r="H63">
            <v>-1383.7000000000007</v>
          </cell>
          <cell r="I63">
            <v>0.90999999999999659</v>
          </cell>
        </row>
        <row r="64">
          <cell r="B64">
            <v>175.44340515136719</v>
          </cell>
          <cell r="C64">
            <v>86940.885150000002</v>
          </cell>
          <cell r="D64">
            <v>23519.35</v>
          </cell>
          <cell r="E64">
            <v>85.46</v>
          </cell>
          <cell r="F64">
            <v>39.01702880859375</v>
          </cell>
          <cell r="G64">
            <v>1858.9486100000067</v>
          </cell>
          <cell r="H64">
            <v>1394.6499999999978</v>
          </cell>
          <cell r="I64">
            <v>-2.0110000000000099</v>
          </cell>
        </row>
        <row r="65">
          <cell r="B65">
            <v>139.71894836425781</v>
          </cell>
          <cell r="C65">
            <v>92838.260750000001</v>
          </cell>
          <cell r="D65">
            <v>24334.2</v>
          </cell>
          <cell r="E65">
            <v>84.599000000000004</v>
          </cell>
          <cell r="F65">
            <v>-35.724456787109375</v>
          </cell>
          <cell r="G65">
            <v>5897.3755999999994</v>
          </cell>
          <cell r="H65">
            <v>814.85000000000218</v>
          </cell>
          <cell r="I65">
            <v>-0.86099999999999</v>
          </cell>
        </row>
        <row r="66">
          <cell r="B66">
            <v>165.81121826171875</v>
          </cell>
          <cell r="C66">
            <v>94645.979399999997</v>
          </cell>
          <cell r="D66">
            <v>24750.7</v>
          </cell>
          <cell r="E66">
            <v>85.525000000000006</v>
          </cell>
          <cell r="F66">
            <v>26.092269897460938</v>
          </cell>
          <cell r="G66">
            <v>1807.7186499999953</v>
          </cell>
          <cell r="H66">
            <v>416.5</v>
          </cell>
          <cell r="I66">
            <v>0.92600000000000193</v>
          </cell>
        </row>
        <row r="67">
          <cell r="B67">
            <v>222.19857788085938</v>
          </cell>
          <cell r="C67">
            <v>97154.497529999993</v>
          </cell>
          <cell r="D67">
            <v>25517.05</v>
          </cell>
          <cell r="E67">
            <v>85.7</v>
          </cell>
          <cell r="F67">
            <v>56.387359619140625</v>
          </cell>
          <cell r="G67">
            <v>2508.5181299999967</v>
          </cell>
          <cell r="H67">
            <v>766.34999999999854</v>
          </cell>
          <cell r="I67">
            <v>0.17499999999999716</v>
          </cell>
        </row>
        <row r="68">
          <cell r="B68">
            <v>134.79460144042969</v>
          </cell>
          <cell r="C68">
            <v>97560.407229999997</v>
          </cell>
          <cell r="D68">
            <v>24768.35</v>
          </cell>
          <cell r="E68">
            <v>87.524000000000001</v>
          </cell>
          <cell r="F68">
            <v>-87.403976440429688</v>
          </cell>
          <cell r="G68">
            <v>405.9097000000038</v>
          </cell>
          <cell r="H68">
            <v>-748.70000000000073</v>
          </cell>
          <cell r="I68">
            <v>1.8239999999999981</v>
          </cell>
        </row>
        <row r="69">
          <cell r="B69">
            <v>136.74961853027344</v>
          </cell>
          <cell r="C69">
            <v>99704.675629999998</v>
          </cell>
          <cell r="D69">
            <v>24426.85</v>
          </cell>
          <cell r="E69">
            <v>88.174000000000007</v>
          </cell>
          <cell r="F69">
            <v>1.95501708984375</v>
          </cell>
          <cell r="G69">
            <v>2144.2684000000008</v>
          </cell>
          <cell r="H69">
            <v>-341.5</v>
          </cell>
          <cell r="I69">
            <v>0.65000000000000568</v>
          </cell>
        </row>
        <row r="70">
          <cell r="B70">
            <v>124.10614776611328</v>
          </cell>
          <cell r="C70">
            <v>109576.0583</v>
          </cell>
          <cell r="D70">
            <v>24611.1</v>
          </cell>
          <cell r="E70">
            <v>88.840999999999994</v>
          </cell>
          <cell r="F70">
            <v>-12.643470764160156</v>
          </cell>
          <cell r="G70">
            <v>9871.3826700000063</v>
          </cell>
          <cell r="H70">
            <v>184.25</v>
          </cell>
          <cell r="I70">
            <v>0.66699999999998738</v>
          </cell>
        </row>
        <row r="71">
          <cell r="B71">
            <v>154.43557739257813</v>
          </cell>
          <cell r="C71">
            <v>122815.22840000001</v>
          </cell>
          <cell r="D71">
            <v>25722.1</v>
          </cell>
          <cell r="E71">
            <v>88.769000000000005</v>
          </cell>
          <cell r="F71">
            <v>30.329429626464844</v>
          </cell>
          <cell r="G71">
            <v>13239.170100000003</v>
          </cell>
          <cell r="H71">
            <v>1111</v>
          </cell>
          <cell r="I71">
            <v>-7.1999999999988518E-2</v>
          </cell>
        </row>
        <row r="72">
          <cell r="B72">
            <v>99.912399291992188</v>
          </cell>
          <cell r="C72">
            <v>122847.55839999999</v>
          </cell>
          <cell r="D72">
            <v>26202.95</v>
          </cell>
          <cell r="E72">
            <v>89.356999999999999</v>
          </cell>
          <cell r="F72">
            <v>-54.523178100585938</v>
          </cell>
          <cell r="G72">
            <v>32.329999999987194</v>
          </cell>
          <cell r="H72">
            <v>480.85000000000218</v>
          </cell>
          <cell r="I72">
            <v>0.58799999999999386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3C5E-EE00-4C76-9186-B424D137CF9C}">
  <dimension ref="A1:I72"/>
  <sheetViews>
    <sheetView tabSelected="1" workbookViewId="0">
      <selection activeCell="S16" sqref="S16"/>
    </sheetView>
  </sheetViews>
  <sheetFormatPr defaultRowHeight="14.4" x14ac:dyDescent="0.3"/>
  <cols>
    <col min="1" max="1" width="10.33203125" style="6" bestFit="1" customWidth="1"/>
    <col min="2" max="2" width="9" style="4" bestFit="1" customWidth="1"/>
    <col min="3" max="3" width="9.6640625" style="4" bestFit="1" customWidth="1"/>
    <col min="4" max="4" width="10.5546875" style="4" bestFit="1" customWidth="1"/>
    <col min="5" max="5" width="9" style="4" bestFit="1" customWidth="1"/>
    <col min="6" max="16384" width="8.88671875" style="4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>
        <v>43831</v>
      </c>
      <c r="B2" s="4">
        <v>138.42094421386719</v>
      </c>
      <c r="C2" s="4">
        <v>39991.54017</v>
      </c>
      <c r="D2" s="4">
        <v>11962.1</v>
      </c>
      <c r="E2" s="4">
        <v>71.540000000000006</v>
      </c>
      <c r="F2" s="4">
        <v>0</v>
      </c>
      <c r="G2" s="4">
        <v>0</v>
      </c>
      <c r="H2" s="4">
        <f>0</f>
        <v>0</v>
      </c>
      <c r="I2" s="4">
        <v>0</v>
      </c>
    </row>
    <row r="3" spans="1:9" x14ac:dyDescent="0.3">
      <c r="A3" s="5">
        <v>43862</v>
      </c>
      <c r="B3" s="4">
        <v>75.955558776855469</v>
      </c>
      <c r="C3" s="4">
        <v>41196.719270000001</v>
      </c>
      <c r="D3" s="4">
        <v>11201.75</v>
      </c>
      <c r="E3" s="4">
        <v>72.534000000000006</v>
      </c>
      <c r="F3" s="4">
        <f>B3-B2</f>
        <v>-62.465385437011719</v>
      </c>
      <c r="G3" s="4">
        <f>C3-C2</f>
        <v>1205.1791000000012</v>
      </c>
      <c r="H3" s="4">
        <f>D3-D2</f>
        <v>-760.35000000000036</v>
      </c>
      <c r="I3" s="4">
        <f>E3-E2</f>
        <v>0.99399999999999977</v>
      </c>
    </row>
    <row r="4" spans="1:9" x14ac:dyDescent="0.3">
      <c r="A4" s="5">
        <v>43891</v>
      </c>
      <c r="B4" s="4">
        <v>81.540031433105497</v>
      </c>
      <c r="C4" s="4">
        <v>41726.918879999997</v>
      </c>
      <c r="D4" s="4">
        <v>8597.75</v>
      </c>
      <c r="E4" s="4">
        <v>75.332999999999998</v>
      </c>
      <c r="F4" s="4">
        <f t="shared" ref="F4:I67" si="0">B4-B3</f>
        <v>5.5844726562500284</v>
      </c>
      <c r="G4" s="4">
        <f t="shared" si="0"/>
        <v>530.19960999999603</v>
      </c>
      <c r="H4" s="4">
        <f t="shared" si="0"/>
        <v>-2604</v>
      </c>
      <c r="I4" s="4">
        <f t="shared" si="0"/>
        <v>2.7989999999999924</v>
      </c>
    </row>
    <row r="5" spans="1:9" x14ac:dyDescent="0.3">
      <c r="A5" s="5">
        <v>43922</v>
      </c>
      <c r="B5" s="4">
        <v>69.339401245117188</v>
      </c>
      <c r="C5" s="4">
        <v>40988.969429999997</v>
      </c>
      <c r="D5" s="4">
        <v>9859.9</v>
      </c>
      <c r="E5" s="4">
        <v>75.076999999999998</v>
      </c>
      <c r="F5" s="4">
        <f t="shared" si="0"/>
        <v>-12.20063018798831</v>
      </c>
      <c r="G5" s="4">
        <f t="shared" si="0"/>
        <v>-737.94945000000007</v>
      </c>
      <c r="H5" s="4">
        <f t="shared" si="0"/>
        <v>1262.1499999999996</v>
      </c>
      <c r="I5" s="4">
        <f t="shared" si="0"/>
        <v>-0.25600000000000023</v>
      </c>
    </row>
    <row r="6" spans="1:9" x14ac:dyDescent="0.3">
      <c r="A6" s="5">
        <v>43952</v>
      </c>
      <c r="B6" s="4">
        <v>68.507217407226563</v>
      </c>
      <c r="C6" s="4">
        <v>40988.969429999997</v>
      </c>
      <c r="D6" s="4">
        <v>9580.2999999999993</v>
      </c>
      <c r="E6" s="4">
        <v>75.59</v>
      </c>
      <c r="F6" s="4">
        <f t="shared" si="0"/>
        <v>-0.832183837890625</v>
      </c>
      <c r="G6" s="4">
        <f t="shared" si="0"/>
        <v>0</v>
      </c>
      <c r="H6" s="4">
        <f t="shared" si="0"/>
        <v>-279.60000000000036</v>
      </c>
      <c r="I6" s="4">
        <f t="shared" si="0"/>
        <v>0.51300000000000523</v>
      </c>
    </row>
    <row r="7" spans="1:9" x14ac:dyDescent="0.3">
      <c r="A7" s="5">
        <v>43983</v>
      </c>
      <c r="B7" s="4">
        <v>71.227859497070313</v>
      </c>
      <c r="C7" s="4">
        <v>46781.285109999997</v>
      </c>
      <c r="D7" s="4">
        <v>10302.1</v>
      </c>
      <c r="E7" s="4">
        <v>75.540000000000006</v>
      </c>
      <c r="F7" s="4">
        <f t="shared" si="0"/>
        <v>2.72064208984375</v>
      </c>
      <c r="G7" s="4">
        <f t="shared" si="0"/>
        <v>5792.3156799999997</v>
      </c>
      <c r="H7" s="4">
        <f t="shared" si="0"/>
        <v>721.80000000000109</v>
      </c>
      <c r="I7" s="4">
        <f t="shared" si="0"/>
        <v>-4.9999999999997158E-2</v>
      </c>
    </row>
    <row r="8" spans="1:9" x14ac:dyDescent="0.3">
      <c r="A8" s="5">
        <v>44013</v>
      </c>
      <c r="B8" s="4">
        <v>66.473281860351563</v>
      </c>
      <c r="C8" s="4">
        <v>49912.79277</v>
      </c>
      <c r="D8" s="4">
        <v>11073.45</v>
      </c>
      <c r="E8" s="4">
        <v>74.915999999999997</v>
      </c>
      <c r="F8" s="4">
        <f t="shared" si="0"/>
        <v>-4.75457763671875</v>
      </c>
      <c r="G8" s="4">
        <f t="shared" si="0"/>
        <v>3131.5076600000029</v>
      </c>
      <c r="H8" s="4">
        <f t="shared" si="0"/>
        <v>771.35000000000036</v>
      </c>
      <c r="I8" s="4">
        <f t="shared" si="0"/>
        <v>-0.62400000000000944</v>
      </c>
    </row>
    <row r="9" spans="1:9" x14ac:dyDescent="0.3">
      <c r="A9" s="5">
        <v>44044</v>
      </c>
      <c r="B9" s="4">
        <v>65.466049194335938</v>
      </c>
      <c r="C9" s="4">
        <v>53038.150439999998</v>
      </c>
      <c r="D9" s="4">
        <v>11387.5</v>
      </c>
      <c r="E9" s="4">
        <v>73.254000000000005</v>
      </c>
      <c r="F9" s="4">
        <f t="shared" si="0"/>
        <v>-1.007232666015625</v>
      </c>
      <c r="G9" s="4">
        <f t="shared" si="0"/>
        <v>3125.3576699999976</v>
      </c>
      <c r="H9" s="4">
        <f t="shared" si="0"/>
        <v>314.04999999999927</v>
      </c>
      <c r="I9" s="4">
        <f t="shared" si="0"/>
        <v>-1.6619999999999919</v>
      </c>
    </row>
    <row r="10" spans="1:9" x14ac:dyDescent="0.3">
      <c r="A10" s="5">
        <v>44075</v>
      </c>
      <c r="B10" s="4">
        <v>80.37738037109375</v>
      </c>
      <c r="C10" s="4">
        <v>50901.282030000002</v>
      </c>
      <c r="D10" s="4">
        <v>11247.55</v>
      </c>
      <c r="E10" s="4">
        <v>73.56</v>
      </c>
      <c r="F10" s="4">
        <f t="shared" si="0"/>
        <v>14.911331176757813</v>
      </c>
      <c r="G10" s="4">
        <f t="shared" si="0"/>
        <v>-2136.8684099999955</v>
      </c>
      <c r="H10" s="4">
        <f t="shared" si="0"/>
        <v>-139.95000000000073</v>
      </c>
      <c r="I10" s="4">
        <f t="shared" si="0"/>
        <v>0.30599999999999739</v>
      </c>
    </row>
    <row r="11" spans="1:9" x14ac:dyDescent="0.3">
      <c r="A11" s="5">
        <v>44105</v>
      </c>
      <c r="B11" s="4">
        <v>76.083168029785156</v>
      </c>
      <c r="C11" s="4">
        <v>50715.532169999999</v>
      </c>
      <c r="D11" s="4">
        <v>11642.4</v>
      </c>
      <c r="E11" s="4">
        <v>74.554000000000002</v>
      </c>
      <c r="F11" s="4">
        <f t="shared" si="0"/>
        <v>-4.2942123413085938</v>
      </c>
      <c r="G11" s="4">
        <f t="shared" si="0"/>
        <v>-185.74986000000354</v>
      </c>
      <c r="H11" s="4">
        <f t="shared" si="0"/>
        <v>394.85000000000036</v>
      </c>
      <c r="I11" s="4">
        <f t="shared" si="0"/>
        <v>0.99399999999999977</v>
      </c>
    </row>
    <row r="12" spans="1:9" x14ac:dyDescent="0.3">
      <c r="A12" s="5">
        <v>44136</v>
      </c>
      <c r="B12" s="4">
        <v>70.067466735839844</v>
      </c>
      <c r="C12" s="4">
        <v>50407.232400000001</v>
      </c>
      <c r="D12" s="4">
        <v>12968.95</v>
      </c>
      <c r="E12" s="4">
        <v>73.989999999999995</v>
      </c>
      <c r="F12" s="4">
        <f t="shared" si="0"/>
        <v>-6.0157012939453125</v>
      </c>
      <c r="G12" s="4">
        <f t="shared" si="0"/>
        <v>-308.29976999999781</v>
      </c>
      <c r="H12" s="4">
        <f t="shared" si="0"/>
        <v>1326.5500000000011</v>
      </c>
      <c r="I12" s="4">
        <f t="shared" si="0"/>
        <v>-0.56400000000000716</v>
      </c>
    </row>
    <row r="13" spans="1:9" x14ac:dyDescent="0.3">
      <c r="A13" s="5">
        <v>44166</v>
      </c>
      <c r="B13" s="4">
        <v>64.067291259765625</v>
      </c>
      <c r="C13" s="4">
        <v>49467.413099999998</v>
      </c>
      <c r="D13" s="4">
        <v>13981.75</v>
      </c>
      <c r="E13" s="4">
        <v>73.036000000000001</v>
      </c>
      <c r="F13" s="4">
        <f t="shared" si="0"/>
        <v>-6.0001754760742188</v>
      </c>
      <c r="G13" s="4">
        <f t="shared" si="0"/>
        <v>-939.81930000000284</v>
      </c>
      <c r="H13" s="4">
        <f t="shared" si="0"/>
        <v>1012.7999999999993</v>
      </c>
      <c r="I13" s="4">
        <f t="shared" si="0"/>
        <v>-0.95399999999999352</v>
      </c>
    </row>
    <row r="14" spans="1:9" x14ac:dyDescent="0.3">
      <c r="A14" s="5">
        <v>44197</v>
      </c>
      <c r="B14" s="4">
        <v>77.418701171875</v>
      </c>
      <c r="C14" s="4">
        <v>49639.122969999997</v>
      </c>
      <c r="D14" s="4">
        <v>13634.6</v>
      </c>
      <c r="E14" s="4">
        <v>72.876999999999995</v>
      </c>
      <c r="F14" s="4">
        <f t="shared" si="0"/>
        <v>13.351409912109375</v>
      </c>
      <c r="G14" s="4">
        <f t="shared" si="0"/>
        <v>171.70986999999877</v>
      </c>
      <c r="H14" s="4">
        <f t="shared" si="0"/>
        <v>-347.14999999999964</v>
      </c>
      <c r="I14" s="4">
        <f t="shared" si="0"/>
        <v>-0.15900000000000603</v>
      </c>
    </row>
    <row r="15" spans="1:9" x14ac:dyDescent="0.3">
      <c r="A15" s="5">
        <v>44228</v>
      </c>
      <c r="B15" s="4">
        <v>73.956802368164063</v>
      </c>
      <c r="C15" s="4">
        <v>47141.514840000003</v>
      </c>
      <c r="D15" s="4">
        <v>14529.15</v>
      </c>
      <c r="E15" s="4">
        <v>73.92</v>
      </c>
      <c r="F15" s="4">
        <f t="shared" si="0"/>
        <v>-3.4618988037109375</v>
      </c>
      <c r="G15" s="4">
        <f t="shared" si="0"/>
        <v>-2497.6081299999933</v>
      </c>
      <c r="H15" s="4">
        <f t="shared" si="0"/>
        <v>894.54999999999927</v>
      </c>
      <c r="I15" s="4">
        <f t="shared" si="0"/>
        <v>1.0430000000000064</v>
      </c>
    </row>
    <row r="16" spans="1:9" x14ac:dyDescent="0.3">
      <c r="A16" s="5">
        <v>44256</v>
      </c>
      <c r="B16" s="4">
        <v>78.618766784667969</v>
      </c>
      <c r="C16" s="4">
        <v>44649.4467</v>
      </c>
      <c r="D16" s="4">
        <v>14690.7</v>
      </c>
      <c r="E16" s="4">
        <v>73.137</v>
      </c>
      <c r="F16" s="4">
        <f t="shared" si="0"/>
        <v>4.6619644165039063</v>
      </c>
      <c r="G16" s="4">
        <f t="shared" si="0"/>
        <v>-2492.068140000003</v>
      </c>
      <c r="H16" s="4">
        <f t="shared" si="0"/>
        <v>161.55000000000109</v>
      </c>
      <c r="I16" s="4">
        <f t="shared" si="0"/>
        <v>-0.78300000000000125</v>
      </c>
    </row>
    <row r="17" spans="1:9" x14ac:dyDescent="0.3">
      <c r="A17" s="5">
        <v>44287</v>
      </c>
      <c r="B17" s="4">
        <v>88.166221618652344</v>
      </c>
      <c r="C17" s="4">
        <v>46724.255149999997</v>
      </c>
      <c r="D17" s="4">
        <v>14631.1</v>
      </c>
      <c r="E17" s="4">
        <v>74.05</v>
      </c>
      <c r="F17" s="4">
        <f t="shared" si="0"/>
        <v>9.547454833984375</v>
      </c>
      <c r="G17" s="4">
        <f t="shared" si="0"/>
        <v>2074.8084499999968</v>
      </c>
      <c r="H17" s="4">
        <f t="shared" si="0"/>
        <v>-59.600000000000364</v>
      </c>
      <c r="I17" s="4">
        <f t="shared" si="0"/>
        <v>0.9129999999999967</v>
      </c>
    </row>
    <row r="18" spans="1:9" x14ac:dyDescent="0.3">
      <c r="A18" s="5">
        <v>44317</v>
      </c>
      <c r="B18" s="4">
        <v>93.007133483886719</v>
      </c>
      <c r="C18" s="4">
        <v>47889.444280000003</v>
      </c>
      <c r="D18" s="4">
        <v>15582.8</v>
      </c>
      <c r="E18" s="4">
        <v>72.510999999999996</v>
      </c>
      <c r="F18" s="4">
        <f t="shared" si="0"/>
        <v>4.840911865234375</v>
      </c>
      <c r="G18" s="4">
        <f t="shared" si="0"/>
        <v>1165.1891300000061</v>
      </c>
      <c r="H18" s="4">
        <f t="shared" si="0"/>
        <v>951.69999999999891</v>
      </c>
      <c r="I18" s="4">
        <f t="shared" si="0"/>
        <v>-1.5390000000000015</v>
      </c>
    </row>
    <row r="19" spans="1:9" x14ac:dyDescent="0.3">
      <c r="A19" s="5">
        <v>44348</v>
      </c>
      <c r="B19" s="4">
        <v>74.127120971679688</v>
      </c>
      <c r="C19" s="4">
        <v>47902.914270000001</v>
      </c>
      <c r="D19" s="4">
        <v>15721.5</v>
      </c>
      <c r="E19" s="4">
        <v>74.36</v>
      </c>
      <c r="F19" s="4">
        <f t="shared" si="0"/>
        <v>-18.880012512207031</v>
      </c>
      <c r="G19" s="4">
        <f t="shared" si="0"/>
        <v>13.469989999997779</v>
      </c>
      <c r="H19" s="4">
        <f t="shared" si="0"/>
        <v>138.70000000000073</v>
      </c>
      <c r="I19" s="4">
        <f t="shared" si="0"/>
        <v>1.8490000000000038</v>
      </c>
    </row>
    <row r="20" spans="1:9" x14ac:dyDescent="0.3">
      <c r="A20" s="5">
        <v>44378</v>
      </c>
      <c r="B20" s="4">
        <v>58.420768737792969</v>
      </c>
      <c r="C20" s="4">
        <v>47791.964350000002</v>
      </c>
      <c r="D20" s="4">
        <v>15763.05</v>
      </c>
      <c r="E20" s="4">
        <v>74.337000000000003</v>
      </c>
      <c r="F20" s="4">
        <f t="shared" si="0"/>
        <v>-15.706352233886719</v>
      </c>
      <c r="G20" s="4">
        <f t="shared" si="0"/>
        <v>-110.94991999999911</v>
      </c>
      <c r="H20" s="4">
        <f t="shared" si="0"/>
        <v>41.549999999999272</v>
      </c>
      <c r="I20" s="4">
        <f t="shared" si="0"/>
        <v>-2.2999999999996135E-2</v>
      </c>
    </row>
    <row r="21" spans="1:9" x14ac:dyDescent="0.3">
      <c r="A21" s="5">
        <v>44409</v>
      </c>
      <c r="B21" s="4">
        <v>89.486549377441406</v>
      </c>
      <c r="C21" s="4">
        <v>47097.604870000003</v>
      </c>
      <c r="D21" s="4">
        <v>17132.2</v>
      </c>
      <c r="E21" s="4">
        <v>72.947000000000003</v>
      </c>
      <c r="F21" s="4">
        <f t="shared" si="0"/>
        <v>31.065780639648438</v>
      </c>
      <c r="G21" s="4">
        <f t="shared" si="0"/>
        <v>-694.35947999999917</v>
      </c>
      <c r="H21" s="4">
        <f t="shared" si="0"/>
        <v>1369.1500000000015</v>
      </c>
      <c r="I21" s="4">
        <f t="shared" si="0"/>
        <v>-1.3900000000000006</v>
      </c>
    </row>
    <row r="22" spans="1:9" x14ac:dyDescent="0.3">
      <c r="A22" s="5">
        <v>44440</v>
      </c>
      <c r="B22" s="4">
        <v>80.696968078613281</v>
      </c>
      <c r="C22" s="4">
        <v>46589.055249999998</v>
      </c>
      <c r="D22" s="4">
        <v>17618.150000000001</v>
      </c>
      <c r="E22" s="4">
        <v>74.164000000000001</v>
      </c>
      <c r="F22" s="4">
        <f t="shared" si="0"/>
        <v>-8.789581298828125</v>
      </c>
      <c r="G22" s="4">
        <f t="shared" si="0"/>
        <v>-508.54962000000523</v>
      </c>
      <c r="H22" s="4">
        <f t="shared" si="0"/>
        <v>485.95000000000073</v>
      </c>
      <c r="I22" s="4">
        <f t="shared" si="0"/>
        <v>1.2169999999999987</v>
      </c>
    </row>
    <row r="23" spans="1:9" x14ac:dyDescent="0.3">
      <c r="A23" s="5">
        <v>44470</v>
      </c>
      <c r="B23" s="4">
        <v>79.02923583984375</v>
      </c>
      <c r="C23" s="4">
        <v>47251.584759999998</v>
      </c>
      <c r="D23" s="4">
        <v>17671.650000000001</v>
      </c>
      <c r="E23" s="4">
        <v>74.915000000000006</v>
      </c>
      <c r="F23" s="4">
        <f t="shared" si="0"/>
        <v>-1.6677322387695313</v>
      </c>
      <c r="G23" s="4">
        <f t="shared" si="0"/>
        <v>662.5295100000003</v>
      </c>
      <c r="H23" s="4">
        <f t="shared" si="0"/>
        <v>53.5</v>
      </c>
      <c r="I23" s="4">
        <f t="shared" si="0"/>
        <v>0.75100000000000477</v>
      </c>
    </row>
    <row r="24" spans="1:9" x14ac:dyDescent="0.3">
      <c r="A24" s="5">
        <v>44501</v>
      </c>
      <c r="B24" s="4">
        <v>86.569145202636719</v>
      </c>
      <c r="C24" s="4">
        <v>48162.914080000002</v>
      </c>
      <c r="D24" s="4">
        <v>16983.2</v>
      </c>
      <c r="E24" s="4">
        <v>75.09</v>
      </c>
      <c r="F24" s="4">
        <f t="shared" si="0"/>
        <v>7.5399093627929688</v>
      </c>
      <c r="G24" s="4">
        <f t="shared" si="0"/>
        <v>911.32932000000437</v>
      </c>
      <c r="H24" s="4">
        <f t="shared" si="0"/>
        <v>-688.45000000000073</v>
      </c>
      <c r="I24" s="4">
        <f t="shared" si="0"/>
        <v>0.17499999999999716</v>
      </c>
    </row>
    <row r="25" spans="1:9" x14ac:dyDescent="0.3">
      <c r="A25" s="5">
        <v>44531</v>
      </c>
      <c r="B25" s="4">
        <v>105.34542083740234</v>
      </c>
      <c r="C25" s="4">
        <v>47900.134270000002</v>
      </c>
      <c r="D25" s="4">
        <v>17354.05</v>
      </c>
      <c r="E25" s="4">
        <v>74.466999999999999</v>
      </c>
      <c r="F25" s="4">
        <f t="shared" si="0"/>
        <v>18.776275634765625</v>
      </c>
      <c r="G25" s="4">
        <f t="shared" si="0"/>
        <v>-262.77981</v>
      </c>
      <c r="H25" s="4">
        <f t="shared" si="0"/>
        <v>370.84999999999854</v>
      </c>
      <c r="I25" s="4">
        <f t="shared" si="0"/>
        <v>-0.62300000000000466</v>
      </c>
    </row>
    <row r="26" spans="1:9" x14ac:dyDescent="0.3">
      <c r="A26" s="5">
        <v>44562</v>
      </c>
      <c r="B26" s="4">
        <v>138.67498779296875</v>
      </c>
      <c r="C26" s="4">
        <v>47983.414210000003</v>
      </c>
      <c r="D26" s="4">
        <v>17339.849999999999</v>
      </c>
      <c r="E26" s="4">
        <v>74.528999999999996</v>
      </c>
      <c r="F26" s="4">
        <f t="shared" si="0"/>
        <v>33.329566955566406</v>
      </c>
      <c r="G26" s="4">
        <f t="shared" si="0"/>
        <v>83.279940000000352</v>
      </c>
      <c r="H26" s="4">
        <f t="shared" si="0"/>
        <v>-14.200000000000728</v>
      </c>
      <c r="I26" s="4">
        <f t="shared" si="0"/>
        <v>6.1999999999997613E-2</v>
      </c>
    </row>
    <row r="27" spans="1:9" x14ac:dyDescent="0.3">
      <c r="A27" s="5">
        <v>44593</v>
      </c>
      <c r="B27" s="4">
        <v>216.15901184082031</v>
      </c>
      <c r="C27" s="4">
        <v>49279.413240000002</v>
      </c>
      <c r="D27" s="4">
        <v>16793.900000000001</v>
      </c>
      <c r="E27" s="4">
        <v>75.492999999999995</v>
      </c>
      <c r="F27" s="4">
        <f t="shared" si="0"/>
        <v>77.484024047851563</v>
      </c>
      <c r="G27" s="4">
        <f t="shared" si="0"/>
        <v>1295.999029999999</v>
      </c>
      <c r="H27" s="4">
        <f t="shared" si="0"/>
        <v>-545.94999999999709</v>
      </c>
      <c r="I27" s="4">
        <f t="shared" si="0"/>
        <v>0.96399999999999864</v>
      </c>
    </row>
    <row r="28" spans="1:9" x14ac:dyDescent="0.3">
      <c r="A28" s="5">
        <v>44621</v>
      </c>
      <c r="B28" s="4">
        <v>318.95492553710938</v>
      </c>
      <c r="C28" s="4">
        <v>51672.351459999998</v>
      </c>
      <c r="D28" s="4">
        <v>17464.75</v>
      </c>
      <c r="E28" s="4">
        <v>75.900999999999996</v>
      </c>
      <c r="F28" s="4">
        <f t="shared" si="0"/>
        <v>102.79591369628906</v>
      </c>
      <c r="G28" s="4">
        <f t="shared" si="0"/>
        <v>2392.9382199999964</v>
      </c>
      <c r="H28" s="4">
        <f t="shared" si="0"/>
        <v>670.84999999999854</v>
      </c>
      <c r="I28" s="4">
        <f t="shared" si="0"/>
        <v>0.40800000000000125</v>
      </c>
    </row>
    <row r="29" spans="1:9" x14ac:dyDescent="0.3">
      <c r="A29" s="5">
        <v>44652</v>
      </c>
      <c r="B29" s="4">
        <v>191.14309692382813</v>
      </c>
      <c r="C29" s="4">
        <v>52057.861169999996</v>
      </c>
      <c r="D29" s="4">
        <v>17102.55</v>
      </c>
      <c r="E29" s="4">
        <v>76.52</v>
      </c>
      <c r="F29" s="4">
        <f t="shared" si="0"/>
        <v>-127.81182861328125</v>
      </c>
      <c r="G29" s="4">
        <f t="shared" si="0"/>
        <v>385.50970999999845</v>
      </c>
      <c r="H29" s="4">
        <f t="shared" si="0"/>
        <v>-362.20000000000073</v>
      </c>
      <c r="I29" s="4">
        <f t="shared" si="0"/>
        <v>0.61899999999999977</v>
      </c>
    </row>
    <row r="30" spans="1:9" x14ac:dyDescent="0.3">
      <c r="A30" s="5">
        <v>44682</v>
      </c>
      <c r="B30" s="4">
        <v>142.25848388671875</v>
      </c>
      <c r="C30" s="4">
        <v>50887.232040000003</v>
      </c>
      <c r="D30" s="4">
        <v>16584.55</v>
      </c>
      <c r="E30" s="4">
        <v>77.569000000000003</v>
      </c>
      <c r="F30" s="4">
        <f t="shared" si="0"/>
        <v>-48.884613037109375</v>
      </c>
      <c r="G30" s="4">
        <f t="shared" si="0"/>
        <v>-1170.6291299999939</v>
      </c>
      <c r="H30" s="4">
        <f t="shared" si="0"/>
        <v>-518</v>
      </c>
      <c r="I30" s="4">
        <f t="shared" si="0"/>
        <v>1.0490000000000066</v>
      </c>
    </row>
    <row r="31" spans="1:9" x14ac:dyDescent="0.3">
      <c r="A31" s="5">
        <v>44713</v>
      </c>
      <c r="B31" s="4">
        <v>130.70732116699219</v>
      </c>
      <c r="C31" s="4">
        <v>50808.822099999998</v>
      </c>
      <c r="D31" s="4">
        <v>15780.25</v>
      </c>
      <c r="E31" s="4">
        <v>78.95</v>
      </c>
      <c r="F31" s="4">
        <f t="shared" si="0"/>
        <v>-11.551162719726563</v>
      </c>
      <c r="G31" s="4">
        <f t="shared" si="0"/>
        <v>-78.409940000005008</v>
      </c>
      <c r="H31" s="4">
        <f t="shared" si="0"/>
        <v>-804.29999999999927</v>
      </c>
      <c r="I31" s="4">
        <f t="shared" si="0"/>
        <v>1.3810000000000002</v>
      </c>
    </row>
    <row r="32" spans="1:9" x14ac:dyDescent="0.3">
      <c r="A32" s="5">
        <v>44743</v>
      </c>
      <c r="B32" s="4">
        <v>117.17676544189453</v>
      </c>
      <c r="C32" s="4">
        <v>50752.962140000003</v>
      </c>
      <c r="D32" s="4">
        <v>17158.25</v>
      </c>
      <c r="E32" s="4">
        <v>79.335999999999999</v>
      </c>
      <c r="F32" s="4">
        <f t="shared" si="0"/>
        <v>-13.530555725097656</v>
      </c>
      <c r="G32" s="4">
        <f t="shared" si="0"/>
        <v>-55.859959999994317</v>
      </c>
      <c r="H32" s="4">
        <f t="shared" si="0"/>
        <v>1378</v>
      </c>
      <c r="I32" s="4">
        <f t="shared" si="0"/>
        <v>0.38599999999999568</v>
      </c>
    </row>
    <row r="33" spans="1:9" x14ac:dyDescent="0.3">
      <c r="A33" s="5">
        <v>44774</v>
      </c>
      <c r="B33" s="4">
        <v>132.86322021484375</v>
      </c>
      <c r="C33" s="4">
        <v>51635.051489999998</v>
      </c>
      <c r="D33" s="4">
        <v>17759.3</v>
      </c>
      <c r="E33" s="4">
        <v>79.491</v>
      </c>
      <c r="F33" s="4">
        <f t="shared" si="0"/>
        <v>15.686454772949219</v>
      </c>
      <c r="G33" s="4">
        <f t="shared" si="0"/>
        <v>882.08934999999474</v>
      </c>
      <c r="H33" s="4">
        <f t="shared" si="0"/>
        <v>601.04999999999927</v>
      </c>
      <c r="I33" s="4">
        <f t="shared" si="0"/>
        <v>0.15500000000000114</v>
      </c>
    </row>
    <row r="34" spans="1:9" x14ac:dyDescent="0.3">
      <c r="A34" s="5">
        <v>44805</v>
      </c>
      <c r="B34" s="4">
        <v>131.98587036132813</v>
      </c>
      <c r="C34" s="4">
        <v>49957.012739999998</v>
      </c>
      <c r="D34" s="4">
        <v>17094.349999999999</v>
      </c>
      <c r="E34" s="4">
        <v>81.509</v>
      </c>
      <c r="F34" s="4">
        <f t="shared" si="0"/>
        <v>-0.877349853515625</v>
      </c>
      <c r="G34" s="4">
        <f t="shared" si="0"/>
        <v>-1678.0387499999997</v>
      </c>
      <c r="H34" s="4">
        <f t="shared" si="0"/>
        <v>-664.95000000000073</v>
      </c>
      <c r="I34" s="4">
        <f t="shared" si="0"/>
        <v>2.0180000000000007</v>
      </c>
    </row>
    <row r="35" spans="1:9" x14ac:dyDescent="0.3">
      <c r="A35" s="5">
        <v>44835</v>
      </c>
      <c r="B35" s="4">
        <v>143.16241455078125</v>
      </c>
      <c r="C35" s="4">
        <v>50372.482429999996</v>
      </c>
      <c r="D35" s="4">
        <v>18012.2</v>
      </c>
      <c r="E35" s="4">
        <v>82.77</v>
      </c>
      <c r="F35" s="4">
        <f t="shared" si="0"/>
        <v>11.176544189453125</v>
      </c>
      <c r="G35" s="4">
        <f t="shared" si="0"/>
        <v>415.46968999999808</v>
      </c>
      <c r="H35" s="4">
        <f t="shared" si="0"/>
        <v>917.85000000000218</v>
      </c>
      <c r="I35" s="4">
        <f t="shared" si="0"/>
        <v>1.2609999999999957</v>
      </c>
    </row>
    <row r="36" spans="1:9" x14ac:dyDescent="0.3">
      <c r="A36" s="5">
        <v>44866</v>
      </c>
      <c r="B36" s="4">
        <v>116.71628570556641</v>
      </c>
      <c r="C36" s="4">
        <v>51843.821329999999</v>
      </c>
      <c r="D36" s="4">
        <v>18758.349999999999</v>
      </c>
      <c r="E36" s="4">
        <v>81.358999999999995</v>
      </c>
      <c r="F36" s="4">
        <f t="shared" si="0"/>
        <v>-26.446128845214844</v>
      </c>
      <c r="G36" s="4">
        <f t="shared" si="0"/>
        <v>1471.3389000000025</v>
      </c>
      <c r="H36" s="4">
        <f t="shared" si="0"/>
        <v>746.14999999999782</v>
      </c>
      <c r="I36" s="4">
        <f t="shared" si="0"/>
        <v>-1.4110000000000014</v>
      </c>
    </row>
    <row r="37" spans="1:9" x14ac:dyDescent="0.3">
      <c r="A37" s="5">
        <v>44896</v>
      </c>
      <c r="B37" s="4">
        <v>111.19593811035156</v>
      </c>
      <c r="C37" s="4">
        <v>53928.689769999997</v>
      </c>
      <c r="D37" s="4">
        <v>18105.3</v>
      </c>
      <c r="E37" s="4">
        <v>82.716999999999999</v>
      </c>
      <c r="F37" s="4">
        <f t="shared" si="0"/>
        <v>-5.5203475952148438</v>
      </c>
      <c r="G37" s="4">
        <f t="shared" si="0"/>
        <v>2084.8684399999984</v>
      </c>
      <c r="H37" s="4">
        <f t="shared" si="0"/>
        <v>-653.04999999999927</v>
      </c>
      <c r="I37" s="4">
        <f t="shared" si="0"/>
        <v>1.3580000000000041</v>
      </c>
    </row>
    <row r="38" spans="1:9" x14ac:dyDescent="0.3">
      <c r="A38" s="5">
        <v>44927</v>
      </c>
      <c r="B38" s="4">
        <v>104.26704406738281</v>
      </c>
      <c r="C38" s="4">
        <v>56221.668060000004</v>
      </c>
      <c r="D38" s="4">
        <v>17662.150000000001</v>
      </c>
      <c r="E38" s="4">
        <v>81.739000000000004</v>
      </c>
      <c r="F38" s="4">
        <f t="shared" si="0"/>
        <v>-6.92889404296875</v>
      </c>
      <c r="G38" s="4">
        <f t="shared" si="0"/>
        <v>2292.9782900000064</v>
      </c>
      <c r="H38" s="4">
        <f t="shared" si="0"/>
        <v>-443.14999999999782</v>
      </c>
      <c r="I38" s="4">
        <f t="shared" si="0"/>
        <v>-0.97799999999999443</v>
      </c>
    </row>
    <row r="39" spans="1:9" x14ac:dyDescent="0.3">
      <c r="A39" s="5">
        <v>44958</v>
      </c>
      <c r="B39" s="4">
        <v>120.99437713623047</v>
      </c>
      <c r="C39" s="4">
        <v>56655.057739999997</v>
      </c>
      <c r="D39" s="4">
        <v>17303.95</v>
      </c>
      <c r="E39" s="4">
        <v>82.64</v>
      </c>
      <c r="F39" s="4">
        <f t="shared" si="0"/>
        <v>16.727333068847656</v>
      </c>
      <c r="G39" s="4">
        <f t="shared" si="0"/>
        <v>433.38967999999295</v>
      </c>
      <c r="H39" s="4">
        <f t="shared" si="0"/>
        <v>-358.20000000000073</v>
      </c>
      <c r="I39" s="4">
        <f t="shared" si="0"/>
        <v>0.90099999999999625</v>
      </c>
    </row>
    <row r="40" spans="1:9" x14ac:dyDescent="0.3">
      <c r="A40" s="5">
        <v>44986</v>
      </c>
      <c r="B40" s="4">
        <v>105.37997436523438</v>
      </c>
      <c r="C40" s="4">
        <v>57577.527049999997</v>
      </c>
      <c r="D40" s="4">
        <v>17359.75</v>
      </c>
      <c r="E40" s="4">
        <v>82.16</v>
      </c>
      <c r="F40" s="4">
        <f t="shared" si="0"/>
        <v>-15.614402770996094</v>
      </c>
      <c r="G40" s="4">
        <f t="shared" si="0"/>
        <v>922.46931000000041</v>
      </c>
      <c r="H40" s="4">
        <f t="shared" si="0"/>
        <v>55.799999999999272</v>
      </c>
      <c r="I40" s="4">
        <f t="shared" si="0"/>
        <v>-0.48000000000000398</v>
      </c>
    </row>
    <row r="41" spans="1:9" x14ac:dyDescent="0.3">
      <c r="A41" s="5">
        <v>45017</v>
      </c>
      <c r="B41" s="4">
        <v>106.80965423583984</v>
      </c>
      <c r="C41" s="4">
        <v>60128.425150000003</v>
      </c>
      <c r="D41" s="4">
        <v>18065</v>
      </c>
      <c r="E41" s="4">
        <v>81.72</v>
      </c>
      <c r="F41" s="4">
        <f t="shared" si="0"/>
        <v>1.4296798706054688</v>
      </c>
      <c r="G41" s="4">
        <f t="shared" si="0"/>
        <v>2550.8981000000058</v>
      </c>
      <c r="H41" s="4">
        <f t="shared" si="0"/>
        <v>705.25</v>
      </c>
      <c r="I41" s="4">
        <f t="shared" si="0"/>
        <v>-0.43999999999999773</v>
      </c>
    </row>
    <row r="42" spans="1:9" x14ac:dyDescent="0.3">
      <c r="A42" s="5">
        <v>45047</v>
      </c>
      <c r="B42" s="4">
        <v>108.46768188476563</v>
      </c>
      <c r="C42" s="4">
        <v>60551.864829999999</v>
      </c>
      <c r="D42" s="4">
        <v>18534.400000000001</v>
      </c>
      <c r="E42" s="4">
        <v>82.68</v>
      </c>
      <c r="F42" s="4">
        <f t="shared" si="0"/>
        <v>1.6580276489257813</v>
      </c>
      <c r="G42" s="4">
        <f t="shared" si="0"/>
        <v>423.43967999999586</v>
      </c>
      <c r="H42" s="4">
        <f t="shared" si="0"/>
        <v>469.40000000000146</v>
      </c>
      <c r="I42" s="4">
        <f t="shared" si="0"/>
        <v>0.96000000000000796</v>
      </c>
    </row>
    <row r="43" spans="1:9" x14ac:dyDescent="0.3">
      <c r="A43" s="5">
        <v>45078</v>
      </c>
      <c r="B43" s="4">
        <v>110.52894592285156</v>
      </c>
      <c r="C43" s="4">
        <v>59023.005969999998</v>
      </c>
      <c r="D43" s="4">
        <v>19189.05</v>
      </c>
      <c r="E43" s="4">
        <v>82.090999999999994</v>
      </c>
      <c r="F43" s="4">
        <f t="shared" si="0"/>
        <v>2.0612640380859375</v>
      </c>
      <c r="G43" s="4">
        <f t="shared" si="0"/>
        <v>-1528.8588600000003</v>
      </c>
      <c r="H43" s="4">
        <f t="shared" si="0"/>
        <v>654.64999999999782</v>
      </c>
      <c r="I43" s="4">
        <f t="shared" si="0"/>
        <v>-0.58900000000001285</v>
      </c>
    </row>
    <row r="44" spans="1:9" x14ac:dyDescent="0.3">
      <c r="A44" s="5">
        <v>45108</v>
      </c>
      <c r="B44" s="4">
        <v>107.44878387451172</v>
      </c>
      <c r="C44" s="4">
        <v>58937.056040000003</v>
      </c>
      <c r="D44" s="4">
        <v>19753.8</v>
      </c>
      <c r="E44" s="4">
        <v>82.24</v>
      </c>
      <c r="F44" s="4">
        <f t="shared" si="0"/>
        <v>-3.0801620483398438</v>
      </c>
      <c r="G44" s="4">
        <f t="shared" si="0"/>
        <v>-85.94992999999522</v>
      </c>
      <c r="H44" s="4">
        <f t="shared" si="0"/>
        <v>564.75</v>
      </c>
      <c r="I44" s="4">
        <f t="shared" si="0"/>
        <v>0.14900000000000091</v>
      </c>
    </row>
    <row r="45" spans="1:9" x14ac:dyDescent="0.3">
      <c r="A45" s="5">
        <v>45139</v>
      </c>
      <c r="B45" s="4">
        <v>101.14118194580078</v>
      </c>
      <c r="C45" s="4">
        <v>58722.136200000001</v>
      </c>
      <c r="D45" s="4">
        <v>19253.8</v>
      </c>
      <c r="E45" s="4">
        <v>82.701999999999998</v>
      </c>
      <c r="F45" s="4">
        <f t="shared" si="0"/>
        <v>-6.3076019287109375</v>
      </c>
      <c r="G45" s="4">
        <f t="shared" si="0"/>
        <v>-214.9198400000023</v>
      </c>
      <c r="H45" s="4">
        <f t="shared" si="0"/>
        <v>-500</v>
      </c>
      <c r="I45" s="4">
        <f t="shared" si="0"/>
        <v>0.4620000000000033</v>
      </c>
    </row>
    <row r="46" spans="1:9" x14ac:dyDescent="0.3">
      <c r="A46" s="5">
        <v>45170</v>
      </c>
      <c r="B46" s="4">
        <v>98.634811401367188</v>
      </c>
      <c r="C46" s="4">
        <v>58785.386149999998</v>
      </c>
      <c r="D46" s="4">
        <v>19638.3</v>
      </c>
      <c r="E46" s="4">
        <v>83.03</v>
      </c>
      <c r="F46" s="4">
        <f t="shared" si="0"/>
        <v>-2.5063705444335938</v>
      </c>
      <c r="G46" s="4">
        <f t="shared" si="0"/>
        <v>63.249949999997625</v>
      </c>
      <c r="H46" s="4">
        <f t="shared" si="0"/>
        <v>384.5</v>
      </c>
      <c r="I46" s="4">
        <f t="shared" si="0"/>
        <v>0.32800000000000296</v>
      </c>
    </row>
    <row r="47" spans="1:9" x14ac:dyDescent="0.3">
      <c r="A47" s="5">
        <v>45200</v>
      </c>
      <c r="B47" s="4">
        <v>197.88700866699219</v>
      </c>
      <c r="C47" s="4">
        <v>58852.666100000002</v>
      </c>
      <c r="D47" s="4">
        <v>19079.599999999999</v>
      </c>
      <c r="E47" s="4">
        <v>83.256</v>
      </c>
      <c r="F47" s="4">
        <f t="shared" si="0"/>
        <v>99.252197265625</v>
      </c>
      <c r="G47" s="4">
        <f t="shared" si="0"/>
        <v>67.279950000003737</v>
      </c>
      <c r="H47" s="4">
        <f t="shared" si="0"/>
        <v>-558.70000000000073</v>
      </c>
      <c r="I47" s="4">
        <f t="shared" si="0"/>
        <v>0.22599999999999909</v>
      </c>
    </row>
    <row r="48" spans="1:9" x14ac:dyDescent="0.3">
      <c r="A48" s="5">
        <v>45231</v>
      </c>
      <c r="B48" s="4">
        <v>156.69613647460938</v>
      </c>
      <c r="C48" s="4">
        <v>60769.274669999999</v>
      </c>
      <c r="D48" s="4">
        <v>20133.150000000001</v>
      </c>
      <c r="E48" s="4">
        <v>83.356999999999999</v>
      </c>
      <c r="F48" s="4">
        <f t="shared" si="0"/>
        <v>-41.190872192382813</v>
      </c>
      <c r="G48" s="4">
        <f t="shared" si="0"/>
        <v>1916.6085699999967</v>
      </c>
      <c r="H48" s="4">
        <f t="shared" si="0"/>
        <v>1053.5500000000029</v>
      </c>
      <c r="I48" s="4">
        <f t="shared" si="0"/>
        <v>0.10099999999999909</v>
      </c>
    </row>
    <row r="49" spans="1:9" x14ac:dyDescent="0.3">
      <c r="A49" s="5">
        <v>45261</v>
      </c>
      <c r="B49" s="4">
        <v>142.27946472167969</v>
      </c>
      <c r="C49" s="4">
        <v>62218.703589999997</v>
      </c>
      <c r="D49" s="4">
        <v>21731.4</v>
      </c>
      <c r="E49" s="4">
        <v>83.19</v>
      </c>
      <c r="F49" s="4">
        <f t="shared" si="0"/>
        <v>-14.416671752929688</v>
      </c>
      <c r="G49" s="4">
        <f t="shared" si="0"/>
        <v>1449.4289199999985</v>
      </c>
      <c r="H49" s="4">
        <f t="shared" si="0"/>
        <v>1598.25</v>
      </c>
      <c r="I49" s="4">
        <f t="shared" si="0"/>
        <v>-0.16700000000000159</v>
      </c>
    </row>
    <row r="50" spans="1:9" x14ac:dyDescent="0.3">
      <c r="A50" s="5">
        <v>45292</v>
      </c>
      <c r="B50" s="4">
        <v>160.3736572265625</v>
      </c>
      <c r="C50" s="4">
        <v>62336.273500000003</v>
      </c>
      <c r="D50" s="4">
        <v>21725.7</v>
      </c>
      <c r="E50" s="4">
        <v>83.094999999999999</v>
      </c>
      <c r="F50" s="4">
        <f t="shared" si="0"/>
        <v>18.094192504882813</v>
      </c>
      <c r="G50" s="4">
        <f t="shared" si="0"/>
        <v>117.56991000000562</v>
      </c>
      <c r="H50" s="4">
        <f t="shared" si="0"/>
        <v>-5.7000000000007276</v>
      </c>
      <c r="I50" s="4">
        <f t="shared" si="0"/>
        <v>-9.4999999999998863E-2</v>
      </c>
    </row>
    <row r="51" spans="1:9" x14ac:dyDescent="0.3">
      <c r="A51" s="5">
        <v>45323</v>
      </c>
      <c r="B51" s="4">
        <v>146.59817504882813</v>
      </c>
      <c r="C51" s="4">
        <v>62030.713730000003</v>
      </c>
      <c r="D51" s="4">
        <v>21982.799999999999</v>
      </c>
      <c r="E51" s="4">
        <v>82.9</v>
      </c>
      <c r="F51" s="4">
        <f t="shared" si="0"/>
        <v>-13.775482177734375</v>
      </c>
      <c r="G51" s="4">
        <f t="shared" si="0"/>
        <v>-305.55976999999984</v>
      </c>
      <c r="H51" s="4">
        <f t="shared" si="0"/>
        <v>257.09999999999854</v>
      </c>
      <c r="I51" s="4">
        <f t="shared" si="0"/>
        <v>-0.19499999999999318</v>
      </c>
    </row>
    <row r="52" spans="1:9" x14ac:dyDescent="0.3">
      <c r="A52" s="5">
        <v>45352</v>
      </c>
      <c r="B52" s="4">
        <v>133.21316528320313</v>
      </c>
      <c r="C52" s="4">
        <v>65305.701289999997</v>
      </c>
      <c r="D52" s="4">
        <v>22326.9</v>
      </c>
      <c r="E52" s="4">
        <v>83.35</v>
      </c>
      <c r="F52" s="4">
        <f t="shared" si="0"/>
        <v>-13.385009765625</v>
      </c>
      <c r="G52" s="4">
        <f t="shared" si="0"/>
        <v>3274.9875599999941</v>
      </c>
      <c r="H52" s="4">
        <f t="shared" si="0"/>
        <v>344.10000000000218</v>
      </c>
      <c r="I52" s="4">
        <f t="shared" si="0"/>
        <v>0.44999999999998863</v>
      </c>
    </row>
    <row r="53" spans="1:9" x14ac:dyDescent="0.3">
      <c r="A53" s="5">
        <v>45383</v>
      </c>
      <c r="B53" s="4">
        <v>163.94734191894531</v>
      </c>
      <c r="C53" s="4">
        <v>71481.626680000001</v>
      </c>
      <c r="D53" s="4">
        <v>22604.85</v>
      </c>
      <c r="E53" s="4">
        <v>83.45</v>
      </c>
      <c r="F53" s="4">
        <f t="shared" si="0"/>
        <v>30.734176635742188</v>
      </c>
      <c r="G53" s="4">
        <f t="shared" si="0"/>
        <v>6175.925390000004</v>
      </c>
      <c r="H53" s="4">
        <f t="shared" si="0"/>
        <v>277.94999999999709</v>
      </c>
      <c r="I53" s="4">
        <f t="shared" si="0"/>
        <v>0.10000000000000853</v>
      </c>
    </row>
    <row r="54" spans="1:9" x14ac:dyDescent="0.3">
      <c r="A54" s="5">
        <v>45413</v>
      </c>
      <c r="B54" s="4">
        <v>130.52186584472656</v>
      </c>
      <c r="C54" s="4">
        <v>72180.336160000006</v>
      </c>
      <c r="D54" s="4">
        <v>22530.7</v>
      </c>
      <c r="E54" s="4">
        <v>83.424000000000007</v>
      </c>
      <c r="F54" s="4">
        <f t="shared" si="0"/>
        <v>-33.42547607421875</v>
      </c>
      <c r="G54" s="4">
        <f t="shared" si="0"/>
        <v>698.70948000000499</v>
      </c>
      <c r="H54" s="4">
        <f t="shared" si="0"/>
        <v>-74.149999999997817</v>
      </c>
      <c r="I54" s="4">
        <f t="shared" si="0"/>
        <v>-2.5999999999996248E-2</v>
      </c>
    </row>
    <row r="55" spans="1:9" x14ac:dyDescent="0.3">
      <c r="A55" s="5">
        <v>45444</v>
      </c>
      <c r="B55" s="4">
        <v>113.09279632568359</v>
      </c>
      <c r="C55" s="4">
        <v>71545.746629999994</v>
      </c>
      <c r="D55" s="4">
        <v>24010.6</v>
      </c>
      <c r="E55" s="4">
        <v>83.355000000000004</v>
      </c>
      <c r="F55" s="4">
        <f t="shared" si="0"/>
        <v>-17.429069519042969</v>
      </c>
      <c r="G55" s="4">
        <f t="shared" si="0"/>
        <v>-634.58953000001202</v>
      </c>
      <c r="H55" s="4">
        <f t="shared" si="0"/>
        <v>1479.8999999999978</v>
      </c>
      <c r="I55" s="4">
        <f t="shared" si="0"/>
        <v>-6.9000000000002615E-2</v>
      </c>
    </row>
    <row r="56" spans="1:9" x14ac:dyDescent="0.3">
      <c r="A56" s="5">
        <v>45474</v>
      </c>
      <c r="B56" s="4">
        <v>92.394874572753906</v>
      </c>
      <c r="C56" s="4">
        <v>71379.59676</v>
      </c>
      <c r="D56" s="4">
        <v>24951.15</v>
      </c>
      <c r="E56" s="4">
        <v>83.698999999999998</v>
      </c>
      <c r="F56" s="4">
        <f t="shared" si="0"/>
        <v>-20.697921752929688</v>
      </c>
      <c r="G56" s="4">
        <f t="shared" si="0"/>
        <v>-166.14986999999383</v>
      </c>
      <c r="H56" s="4">
        <f t="shared" si="0"/>
        <v>940.55000000000291</v>
      </c>
      <c r="I56" s="4">
        <f t="shared" si="0"/>
        <v>0.34399999999999409</v>
      </c>
    </row>
    <row r="57" spans="1:9" x14ac:dyDescent="0.3">
      <c r="A57" s="5">
        <v>45505</v>
      </c>
      <c r="B57" s="4">
        <v>140.97506713867188</v>
      </c>
      <c r="C57" s="4">
        <v>70380.707500000004</v>
      </c>
      <c r="D57" s="4">
        <v>25235.9</v>
      </c>
      <c r="E57" s="4">
        <v>83.867000000000004</v>
      </c>
      <c r="F57" s="4">
        <f t="shared" si="0"/>
        <v>48.580192565917969</v>
      </c>
      <c r="G57" s="4">
        <f t="shared" si="0"/>
        <v>-998.88925999999628</v>
      </c>
      <c r="H57" s="4">
        <f t="shared" si="0"/>
        <v>284.75</v>
      </c>
      <c r="I57" s="4">
        <f t="shared" si="0"/>
        <v>0.16800000000000637</v>
      </c>
    </row>
    <row r="58" spans="1:9" x14ac:dyDescent="0.3">
      <c r="A58" s="5">
        <v>45536</v>
      </c>
      <c r="B58" s="4">
        <v>130.35877990722656</v>
      </c>
      <c r="C58" s="4">
        <v>72882.655639999997</v>
      </c>
      <c r="D58" s="4">
        <v>25810.85</v>
      </c>
      <c r="E58" s="4">
        <v>83.754999999999995</v>
      </c>
      <c r="F58" s="4">
        <f t="shared" si="0"/>
        <v>-10.616287231445313</v>
      </c>
      <c r="G58" s="4">
        <f t="shared" si="0"/>
        <v>2501.9481399999931</v>
      </c>
      <c r="H58" s="4">
        <f t="shared" si="0"/>
        <v>574.94999999999709</v>
      </c>
      <c r="I58" s="4">
        <f t="shared" si="0"/>
        <v>-0.11200000000000898</v>
      </c>
    </row>
    <row r="59" spans="1:9" x14ac:dyDescent="0.3">
      <c r="A59" s="5">
        <v>45566</v>
      </c>
      <c r="B59" s="4">
        <v>130.689208984375</v>
      </c>
      <c r="C59" s="4">
        <v>76706.532779999994</v>
      </c>
      <c r="D59" s="4">
        <v>24205.35</v>
      </c>
      <c r="E59" s="4">
        <v>84.061000000000007</v>
      </c>
      <c r="F59" s="4">
        <f t="shared" si="0"/>
        <v>0.3304290771484375</v>
      </c>
      <c r="G59" s="4">
        <f t="shared" si="0"/>
        <v>3823.8771399999969</v>
      </c>
      <c r="H59" s="4">
        <f t="shared" si="0"/>
        <v>-1605.5</v>
      </c>
      <c r="I59" s="4">
        <f t="shared" si="0"/>
        <v>0.3060000000000116</v>
      </c>
    </row>
    <row r="60" spans="1:9" x14ac:dyDescent="0.3">
      <c r="A60" s="5">
        <v>45597</v>
      </c>
      <c r="B60" s="4">
        <v>128.90164184570313</v>
      </c>
      <c r="C60" s="4">
        <v>76268.423110000003</v>
      </c>
      <c r="D60" s="4">
        <v>24131.1</v>
      </c>
      <c r="E60" s="4">
        <v>84.558999999999997</v>
      </c>
      <c r="F60" s="4">
        <f t="shared" si="0"/>
        <v>-1.787567138671875</v>
      </c>
      <c r="G60" s="4">
        <f t="shared" si="0"/>
        <v>-438.10966999999073</v>
      </c>
      <c r="H60" s="4">
        <f t="shared" si="0"/>
        <v>-74.25</v>
      </c>
      <c r="I60" s="4">
        <f t="shared" si="0"/>
        <v>0.49799999999999045</v>
      </c>
    </row>
    <row r="61" spans="1:9" x14ac:dyDescent="0.3">
      <c r="A61" s="5">
        <v>45627</v>
      </c>
      <c r="B61" s="4">
        <v>142.36643981933594</v>
      </c>
      <c r="C61" s="4">
        <v>76219.373149999999</v>
      </c>
      <c r="D61" s="4">
        <v>23644.799999999999</v>
      </c>
      <c r="E61" s="4">
        <v>85.554000000000002</v>
      </c>
      <c r="F61" s="4">
        <f t="shared" si="0"/>
        <v>13.464797973632813</v>
      </c>
      <c r="G61" s="4">
        <f t="shared" si="0"/>
        <v>-49.049960000003921</v>
      </c>
      <c r="H61" s="4">
        <f t="shared" si="0"/>
        <v>-486.29999999999927</v>
      </c>
      <c r="I61" s="4">
        <f t="shared" si="0"/>
        <v>0.99500000000000455</v>
      </c>
    </row>
    <row r="62" spans="1:9" x14ac:dyDescent="0.3">
      <c r="A62" s="5">
        <v>45658</v>
      </c>
      <c r="B62" s="4">
        <v>112.33326721191406</v>
      </c>
      <c r="C62" s="4">
        <v>78634.771349999995</v>
      </c>
      <c r="D62" s="4">
        <v>23508.400000000001</v>
      </c>
      <c r="E62" s="4">
        <v>86.561000000000007</v>
      </c>
      <c r="F62" s="4">
        <f t="shared" si="0"/>
        <v>-30.033172607421875</v>
      </c>
      <c r="G62" s="4">
        <f t="shared" si="0"/>
        <v>2415.398199999996</v>
      </c>
      <c r="H62" s="4">
        <f t="shared" si="0"/>
        <v>-136.39999999999782</v>
      </c>
      <c r="I62" s="4">
        <f t="shared" si="0"/>
        <v>1.007000000000005</v>
      </c>
    </row>
    <row r="63" spans="1:9" x14ac:dyDescent="0.3">
      <c r="A63" s="5">
        <v>45689</v>
      </c>
      <c r="B63" s="4">
        <v>136.42637634277344</v>
      </c>
      <c r="C63" s="4">
        <v>85081.936539999995</v>
      </c>
      <c r="D63" s="4">
        <v>22124.7</v>
      </c>
      <c r="E63" s="4">
        <v>87.471000000000004</v>
      </c>
      <c r="F63" s="4">
        <f t="shared" si="0"/>
        <v>24.093109130859375</v>
      </c>
      <c r="G63" s="4">
        <f t="shared" si="0"/>
        <v>6447.1651899999997</v>
      </c>
      <c r="H63" s="4">
        <f t="shared" si="0"/>
        <v>-1383.7000000000007</v>
      </c>
      <c r="I63" s="4">
        <f t="shared" si="0"/>
        <v>0.90999999999999659</v>
      </c>
    </row>
    <row r="64" spans="1:9" x14ac:dyDescent="0.3">
      <c r="A64" s="5">
        <v>45717</v>
      </c>
      <c r="B64" s="4">
        <v>175.44340515136719</v>
      </c>
      <c r="C64" s="4">
        <v>86940.885150000002</v>
      </c>
      <c r="D64" s="4">
        <v>23519.35</v>
      </c>
      <c r="E64" s="4">
        <v>85.46</v>
      </c>
      <c r="F64" s="4">
        <f t="shared" si="0"/>
        <v>39.01702880859375</v>
      </c>
      <c r="G64" s="4">
        <f t="shared" si="0"/>
        <v>1858.9486100000067</v>
      </c>
      <c r="H64" s="4">
        <f t="shared" si="0"/>
        <v>1394.6499999999978</v>
      </c>
      <c r="I64" s="4">
        <f t="shared" si="0"/>
        <v>-2.0110000000000099</v>
      </c>
    </row>
    <row r="65" spans="1:9" x14ac:dyDescent="0.3">
      <c r="A65" s="5">
        <v>45748</v>
      </c>
      <c r="B65" s="4">
        <v>139.71894836425781</v>
      </c>
      <c r="C65" s="4">
        <v>92838.260750000001</v>
      </c>
      <c r="D65" s="4">
        <v>24334.2</v>
      </c>
      <c r="E65" s="4">
        <v>84.599000000000004</v>
      </c>
      <c r="F65" s="4">
        <f t="shared" si="0"/>
        <v>-35.724456787109375</v>
      </c>
      <c r="G65" s="4">
        <f t="shared" si="0"/>
        <v>5897.3755999999994</v>
      </c>
      <c r="H65" s="4">
        <f t="shared" si="0"/>
        <v>814.85000000000218</v>
      </c>
      <c r="I65" s="4">
        <f t="shared" si="0"/>
        <v>-0.86099999999999</v>
      </c>
    </row>
    <row r="66" spans="1:9" x14ac:dyDescent="0.3">
      <c r="A66" s="5">
        <v>45778</v>
      </c>
      <c r="B66" s="4">
        <v>165.81121826171875</v>
      </c>
      <c r="C66" s="4">
        <v>94645.979399999997</v>
      </c>
      <c r="D66" s="4">
        <v>24750.7</v>
      </c>
      <c r="E66" s="4">
        <v>85.525000000000006</v>
      </c>
      <c r="F66" s="4">
        <f t="shared" si="0"/>
        <v>26.092269897460938</v>
      </c>
      <c r="G66" s="4">
        <f t="shared" si="0"/>
        <v>1807.7186499999953</v>
      </c>
      <c r="H66" s="4">
        <f t="shared" si="0"/>
        <v>416.5</v>
      </c>
      <c r="I66" s="4">
        <f t="shared" si="0"/>
        <v>0.92600000000000193</v>
      </c>
    </row>
    <row r="67" spans="1:9" x14ac:dyDescent="0.3">
      <c r="A67" s="5">
        <v>45809</v>
      </c>
      <c r="B67" s="4">
        <v>222.19857788085938</v>
      </c>
      <c r="C67" s="4">
        <v>97154.497529999993</v>
      </c>
      <c r="D67" s="4">
        <v>25517.05</v>
      </c>
      <c r="E67" s="4">
        <v>85.7</v>
      </c>
      <c r="F67" s="4">
        <f t="shared" si="0"/>
        <v>56.387359619140625</v>
      </c>
      <c r="G67" s="4">
        <f t="shared" si="0"/>
        <v>2508.5181299999967</v>
      </c>
      <c r="H67" s="4">
        <f t="shared" si="0"/>
        <v>766.34999999999854</v>
      </c>
      <c r="I67" s="4">
        <f t="shared" ref="I67:I72" si="1">E67-E66</f>
        <v>0.17499999999999716</v>
      </c>
    </row>
    <row r="68" spans="1:9" x14ac:dyDescent="0.3">
      <c r="A68" s="5">
        <v>45839</v>
      </c>
      <c r="B68" s="4">
        <v>134.79460144042969</v>
      </c>
      <c r="C68" s="4">
        <v>97560.407229999997</v>
      </c>
      <c r="D68" s="4">
        <v>24768.35</v>
      </c>
      <c r="E68" s="4">
        <v>87.524000000000001</v>
      </c>
      <c r="F68" s="4">
        <f t="shared" ref="F68:H72" si="2">B68-B67</f>
        <v>-87.403976440429688</v>
      </c>
      <c r="G68" s="4">
        <f t="shared" si="2"/>
        <v>405.9097000000038</v>
      </c>
      <c r="H68" s="4">
        <f t="shared" si="2"/>
        <v>-748.70000000000073</v>
      </c>
      <c r="I68" s="4">
        <f t="shared" si="1"/>
        <v>1.8239999999999981</v>
      </c>
    </row>
    <row r="69" spans="1:9" x14ac:dyDescent="0.3">
      <c r="A69" s="5">
        <v>45870</v>
      </c>
      <c r="B69" s="4">
        <v>136.74961853027344</v>
      </c>
      <c r="C69" s="4">
        <v>99704.675629999998</v>
      </c>
      <c r="D69" s="4">
        <v>24426.85</v>
      </c>
      <c r="E69" s="4">
        <v>88.174000000000007</v>
      </c>
      <c r="F69" s="4">
        <f t="shared" si="2"/>
        <v>1.95501708984375</v>
      </c>
      <c r="G69" s="4">
        <f t="shared" si="2"/>
        <v>2144.2684000000008</v>
      </c>
      <c r="H69" s="4">
        <f t="shared" si="2"/>
        <v>-341.5</v>
      </c>
      <c r="I69" s="4">
        <f t="shared" si="1"/>
        <v>0.65000000000000568</v>
      </c>
    </row>
    <row r="70" spans="1:9" x14ac:dyDescent="0.3">
      <c r="A70" s="5">
        <v>45901</v>
      </c>
      <c r="B70" s="4">
        <v>124.10614776611328</v>
      </c>
      <c r="C70" s="4">
        <v>109576.0583</v>
      </c>
      <c r="D70" s="4">
        <v>24611.1</v>
      </c>
      <c r="E70" s="4">
        <v>88.840999999999994</v>
      </c>
      <c r="F70" s="4">
        <f t="shared" si="2"/>
        <v>-12.643470764160156</v>
      </c>
      <c r="G70" s="4">
        <f t="shared" si="2"/>
        <v>9871.3826700000063</v>
      </c>
      <c r="H70" s="4">
        <f t="shared" si="2"/>
        <v>184.25</v>
      </c>
      <c r="I70" s="4">
        <f t="shared" si="1"/>
        <v>0.66699999999998738</v>
      </c>
    </row>
    <row r="71" spans="1:9" x14ac:dyDescent="0.3">
      <c r="A71" s="5">
        <v>45931</v>
      </c>
      <c r="B71" s="4">
        <v>154.43557739257813</v>
      </c>
      <c r="C71" s="4">
        <v>122815.22840000001</v>
      </c>
      <c r="D71" s="4">
        <v>25722.1</v>
      </c>
      <c r="E71" s="4">
        <v>88.769000000000005</v>
      </c>
      <c r="F71" s="4">
        <f t="shared" si="2"/>
        <v>30.329429626464844</v>
      </c>
      <c r="G71" s="4">
        <f t="shared" si="2"/>
        <v>13239.170100000003</v>
      </c>
      <c r="H71" s="4">
        <f t="shared" si="2"/>
        <v>1111</v>
      </c>
      <c r="I71" s="4">
        <f t="shared" si="1"/>
        <v>-7.1999999999988518E-2</v>
      </c>
    </row>
    <row r="72" spans="1:9" x14ac:dyDescent="0.3">
      <c r="A72" s="5">
        <v>45962</v>
      </c>
      <c r="B72" s="4">
        <v>99.912399291992188</v>
      </c>
      <c r="C72" s="4">
        <v>122847.55839999999</v>
      </c>
      <c r="D72" s="4">
        <v>26202.95</v>
      </c>
      <c r="E72" s="4">
        <v>89.356999999999999</v>
      </c>
      <c r="F72" s="4">
        <f t="shared" si="2"/>
        <v>-54.523178100585938</v>
      </c>
      <c r="G72" s="4">
        <f t="shared" si="2"/>
        <v>32.329999999987194</v>
      </c>
      <c r="H72" s="4">
        <f t="shared" si="2"/>
        <v>480.85000000000218</v>
      </c>
      <c r="I72" s="4">
        <f t="shared" si="1"/>
        <v>0.58799999999999386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Level-Vs-FirstDifference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dcterms:created xsi:type="dcterms:W3CDTF">2025-12-18T12:57:48Z</dcterms:created>
  <dcterms:modified xsi:type="dcterms:W3CDTF">2025-12-18T13:02:50Z</dcterms:modified>
</cp:coreProperties>
</file>