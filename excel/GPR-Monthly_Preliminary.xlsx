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gne\VIT_Projects\Dec-SecondReview\"/>
    </mc:Choice>
  </mc:AlternateContent>
  <xr:revisionPtr revIDLastSave="0" documentId="13_ncr:1_{995D4B24-EAFA-4107-BB29-81A016CFB609}" xr6:coauthVersionLast="47" xr6:coauthVersionMax="47" xr10:uidLastSave="{00000000-0000-0000-0000-000000000000}"/>
  <bookViews>
    <workbookView xWindow="-108" yWindow="-108" windowWidth="23256" windowHeight="12456" xr2:uid="{110F4486-6362-4CCD-9F7A-6A1A303B4CA0}"/>
  </bookViews>
  <sheets>
    <sheet name="GP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3" i="1" l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3" i="1"/>
  <c r="H9" i="1"/>
  <c r="H8" i="1"/>
  <c r="H6" i="1"/>
  <c r="H5" i="1"/>
  <c r="H4" i="1"/>
  <c r="I3" i="1"/>
  <c r="H3" i="1"/>
  <c r="D2" i="1" s="1"/>
  <c r="E2" i="1" s="1"/>
  <c r="D5" i="1" l="1"/>
  <c r="E5" i="1" s="1"/>
  <c r="D9" i="1"/>
  <c r="E9" i="1" s="1"/>
  <c r="D13" i="1"/>
  <c r="E13" i="1" s="1"/>
  <c r="D17" i="1"/>
  <c r="E17" i="1" s="1"/>
  <c r="D21" i="1"/>
  <c r="E21" i="1" s="1"/>
  <c r="D25" i="1"/>
  <c r="E25" i="1" s="1"/>
  <c r="D29" i="1"/>
  <c r="E29" i="1" s="1"/>
  <c r="D33" i="1"/>
  <c r="E33" i="1" s="1"/>
  <c r="D37" i="1"/>
  <c r="E37" i="1" s="1"/>
  <c r="D41" i="1"/>
  <c r="E41" i="1" s="1"/>
  <c r="D45" i="1"/>
  <c r="E45" i="1" s="1"/>
  <c r="D49" i="1"/>
  <c r="E49" i="1" s="1"/>
  <c r="D53" i="1"/>
  <c r="E53" i="1" s="1"/>
  <c r="D57" i="1"/>
  <c r="E57" i="1" s="1"/>
  <c r="D61" i="1"/>
  <c r="E61" i="1" s="1"/>
  <c r="D65" i="1"/>
  <c r="E65" i="1" s="1"/>
  <c r="D69" i="1"/>
  <c r="E69" i="1" s="1"/>
  <c r="D6" i="1"/>
  <c r="E6" i="1" s="1"/>
  <c r="D10" i="1"/>
  <c r="E10" i="1" s="1"/>
  <c r="D14" i="1"/>
  <c r="E14" i="1" s="1"/>
  <c r="D18" i="1"/>
  <c r="E18" i="1" s="1"/>
  <c r="D22" i="1"/>
  <c r="E22" i="1" s="1"/>
  <c r="D26" i="1"/>
  <c r="E26" i="1" s="1"/>
  <c r="D30" i="1"/>
  <c r="E30" i="1" s="1"/>
  <c r="D34" i="1"/>
  <c r="E34" i="1" s="1"/>
  <c r="D38" i="1"/>
  <c r="E38" i="1" s="1"/>
  <c r="D42" i="1"/>
  <c r="E42" i="1" s="1"/>
  <c r="D46" i="1"/>
  <c r="E46" i="1" s="1"/>
  <c r="D50" i="1"/>
  <c r="E50" i="1" s="1"/>
  <c r="D54" i="1"/>
  <c r="E54" i="1" s="1"/>
  <c r="D58" i="1"/>
  <c r="E58" i="1" s="1"/>
  <c r="D62" i="1"/>
  <c r="E62" i="1" s="1"/>
  <c r="D66" i="1"/>
  <c r="E66" i="1" s="1"/>
  <c r="D70" i="1"/>
  <c r="E70" i="1" s="1"/>
  <c r="H7" i="1"/>
  <c r="D3" i="1"/>
  <c r="E3" i="1" s="1"/>
  <c r="D7" i="1"/>
  <c r="E7" i="1" s="1"/>
  <c r="D11" i="1"/>
  <c r="E11" i="1" s="1"/>
  <c r="D15" i="1"/>
  <c r="E15" i="1" s="1"/>
  <c r="D19" i="1"/>
  <c r="E19" i="1" s="1"/>
  <c r="D23" i="1"/>
  <c r="E23" i="1" s="1"/>
  <c r="D27" i="1"/>
  <c r="E27" i="1" s="1"/>
  <c r="D31" i="1"/>
  <c r="E31" i="1" s="1"/>
  <c r="D35" i="1"/>
  <c r="E35" i="1" s="1"/>
  <c r="D39" i="1"/>
  <c r="E39" i="1" s="1"/>
  <c r="D43" i="1"/>
  <c r="E43" i="1" s="1"/>
  <c r="D47" i="1"/>
  <c r="E47" i="1" s="1"/>
  <c r="D51" i="1"/>
  <c r="E51" i="1" s="1"/>
  <c r="D55" i="1"/>
  <c r="E55" i="1" s="1"/>
  <c r="D59" i="1"/>
  <c r="E59" i="1" s="1"/>
  <c r="D63" i="1"/>
  <c r="E63" i="1" s="1"/>
  <c r="D67" i="1"/>
  <c r="E67" i="1" s="1"/>
  <c r="D71" i="1"/>
  <c r="E71" i="1" s="1"/>
  <c r="D4" i="1"/>
  <c r="E4" i="1" s="1"/>
  <c r="D8" i="1"/>
  <c r="E8" i="1" s="1"/>
  <c r="D12" i="1"/>
  <c r="E12" i="1" s="1"/>
  <c r="D16" i="1"/>
  <c r="E16" i="1" s="1"/>
  <c r="D20" i="1"/>
  <c r="E20" i="1" s="1"/>
  <c r="D24" i="1"/>
  <c r="E24" i="1" s="1"/>
  <c r="D28" i="1"/>
  <c r="E28" i="1" s="1"/>
  <c r="D32" i="1"/>
  <c r="E32" i="1" s="1"/>
  <c r="D36" i="1"/>
  <c r="E36" i="1" s="1"/>
  <c r="D40" i="1"/>
  <c r="E40" i="1" s="1"/>
  <c r="D44" i="1"/>
  <c r="E44" i="1" s="1"/>
  <c r="D48" i="1"/>
  <c r="E48" i="1" s="1"/>
  <c r="D52" i="1"/>
  <c r="E52" i="1" s="1"/>
  <c r="D56" i="1"/>
  <c r="E56" i="1" s="1"/>
  <c r="D60" i="1"/>
  <c r="E60" i="1" s="1"/>
  <c r="D64" i="1"/>
  <c r="E64" i="1" s="1"/>
  <c r="D68" i="1"/>
  <c r="E68" i="1" s="1"/>
  <c r="D72" i="1"/>
  <c r="E72" i="1" s="1"/>
  <c r="E73" i="1"/>
  <c r="I8" i="1" s="1"/>
  <c r="I9" i="1" s="1"/>
</calcChain>
</file>

<file path=xl/sharedStrings.xml><?xml version="1.0" encoding="utf-8"?>
<sst xmlns="http://schemas.openxmlformats.org/spreadsheetml/2006/main" count="16" uniqueCount="16">
  <si>
    <t>Month</t>
  </si>
  <si>
    <t>GPR</t>
  </si>
  <si>
    <t>Mean</t>
  </si>
  <si>
    <t>Median</t>
  </si>
  <si>
    <t>Min</t>
  </si>
  <si>
    <t>Max</t>
  </si>
  <si>
    <t>Range</t>
  </si>
  <si>
    <t>Variance</t>
  </si>
  <si>
    <t>Standard Deviation</t>
  </si>
  <si>
    <t>Sample</t>
  </si>
  <si>
    <t>Population</t>
  </si>
  <si>
    <t>Descriptive Analysis - Monthly Global GPR</t>
  </si>
  <si>
    <t>Line Graph</t>
  </si>
  <si>
    <t>S.No</t>
  </si>
  <si>
    <t>(x − x̄)²</t>
  </si>
  <si>
    <t>x − x̄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</si>
</sst>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Global GPR Jan 2020 - Nov 2025</a:t>
            </a:r>
          </a:p>
          <a:p>
            <a:pPr>
              <a:defRPr/>
            </a:pPr>
            <a:r>
              <a:rPr lang="en-US"/>
              <a:t> VIT Project</a:t>
            </a:r>
          </a:p>
        </c:rich>
      </c:tx>
      <c:layout>
        <c:manualLayout>
          <c:xMode val="edge"/>
          <c:yMode val="edge"/>
          <c:x val="0.1736804461942257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GPR!$C$1</c:f>
              <c:strCache>
                <c:ptCount val="1"/>
                <c:pt idx="0">
                  <c:v>GPR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GPR!$A$2:$A$72</c:f>
              <c:numCache>
                <c:formatCode>m/d/yyyy</c:formatCode>
                <c:ptCount val="71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</c:numCache>
            </c:numRef>
          </c:cat>
          <c:val>
            <c:numRef>
              <c:f>GPR!$C$2:$C$72</c:f>
              <c:numCache>
                <c:formatCode>#,##0.00</c:formatCode>
                <c:ptCount val="71"/>
                <c:pt idx="0">
                  <c:v>138.42094421386719</c:v>
                </c:pt>
                <c:pt idx="1">
                  <c:v>75.955558776855469</c:v>
                </c:pt>
                <c:pt idx="2">
                  <c:v>81.540031433105497</c:v>
                </c:pt>
                <c:pt idx="3">
                  <c:v>69.339401245117188</c:v>
                </c:pt>
                <c:pt idx="4">
                  <c:v>68.507217407226563</c:v>
                </c:pt>
                <c:pt idx="5">
                  <c:v>71.227859497070313</c:v>
                </c:pt>
                <c:pt idx="6">
                  <c:v>66.473281860351563</c:v>
                </c:pt>
                <c:pt idx="7">
                  <c:v>65.466049194335938</c:v>
                </c:pt>
                <c:pt idx="8">
                  <c:v>80.37738037109375</c:v>
                </c:pt>
                <c:pt idx="9">
                  <c:v>76.083168029785156</c:v>
                </c:pt>
                <c:pt idx="10">
                  <c:v>70.067466735839844</c:v>
                </c:pt>
                <c:pt idx="11">
                  <c:v>64.067291259765625</c:v>
                </c:pt>
                <c:pt idx="12">
                  <c:v>77.418701171875</c:v>
                </c:pt>
                <c:pt idx="13">
                  <c:v>73.956802368164063</c:v>
                </c:pt>
                <c:pt idx="14">
                  <c:v>78.618766784667969</c:v>
                </c:pt>
                <c:pt idx="15">
                  <c:v>88.166221618652344</c:v>
                </c:pt>
                <c:pt idx="16">
                  <c:v>93.007133483886719</c:v>
                </c:pt>
                <c:pt idx="17">
                  <c:v>74.127120971679688</c:v>
                </c:pt>
                <c:pt idx="18">
                  <c:v>58.420768737792969</c:v>
                </c:pt>
                <c:pt idx="19">
                  <c:v>89.486549377441406</c:v>
                </c:pt>
                <c:pt idx="20">
                  <c:v>80.696968078613281</c:v>
                </c:pt>
                <c:pt idx="21">
                  <c:v>79.02923583984375</c:v>
                </c:pt>
                <c:pt idx="22">
                  <c:v>86.569145202636719</c:v>
                </c:pt>
                <c:pt idx="23">
                  <c:v>105.34542083740234</c:v>
                </c:pt>
                <c:pt idx="24">
                  <c:v>138.67498779296875</c:v>
                </c:pt>
                <c:pt idx="25">
                  <c:v>216.15901184082031</c:v>
                </c:pt>
                <c:pt idx="26">
                  <c:v>318.95492553710938</c:v>
                </c:pt>
                <c:pt idx="27">
                  <c:v>191.14309692382813</c:v>
                </c:pt>
                <c:pt idx="28">
                  <c:v>142.25848388671875</c:v>
                </c:pt>
                <c:pt idx="29">
                  <c:v>130.70732116699219</c:v>
                </c:pt>
                <c:pt idx="30">
                  <c:v>117.17676544189453</c:v>
                </c:pt>
                <c:pt idx="31">
                  <c:v>132.86322021484375</c:v>
                </c:pt>
                <c:pt idx="32">
                  <c:v>131.98587036132813</c:v>
                </c:pt>
                <c:pt idx="33">
                  <c:v>143.16241455078125</c:v>
                </c:pt>
                <c:pt idx="34">
                  <c:v>116.71628570556641</c:v>
                </c:pt>
                <c:pt idx="35">
                  <c:v>111.19593811035156</c:v>
                </c:pt>
                <c:pt idx="36">
                  <c:v>104.26704406738281</c:v>
                </c:pt>
                <c:pt idx="37">
                  <c:v>120.99437713623047</c:v>
                </c:pt>
                <c:pt idx="38">
                  <c:v>105.37997436523438</c:v>
                </c:pt>
                <c:pt idx="39">
                  <c:v>106.80965423583984</c:v>
                </c:pt>
                <c:pt idx="40">
                  <c:v>108.46768188476563</c:v>
                </c:pt>
                <c:pt idx="41">
                  <c:v>110.52894592285156</c:v>
                </c:pt>
                <c:pt idx="42">
                  <c:v>107.44878387451172</c:v>
                </c:pt>
                <c:pt idx="43">
                  <c:v>101.14118194580078</c:v>
                </c:pt>
                <c:pt idx="44">
                  <c:v>98.634811401367188</c:v>
                </c:pt>
                <c:pt idx="45">
                  <c:v>197.88700866699219</c:v>
                </c:pt>
                <c:pt idx="46">
                  <c:v>156.69613647460938</c:v>
                </c:pt>
                <c:pt idx="47">
                  <c:v>142.27946472167969</c:v>
                </c:pt>
                <c:pt idx="48">
                  <c:v>160.3736572265625</c:v>
                </c:pt>
                <c:pt idx="49">
                  <c:v>146.59817504882813</c:v>
                </c:pt>
                <c:pt idx="50">
                  <c:v>133.21316528320313</c:v>
                </c:pt>
                <c:pt idx="51">
                  <c:v>163.94734191894531</c:v>
                </c:pt>
                <c:pt idx="52">
                  <c:v>130.52186584472656</c:v>
                </c:pt>
                <c:pt idx="53">
                  <c:v>113.09279632568359</c:v>
                </c:pt>
                <c:pt idx="54">
                  <c:v>92.394874572753906</c:v>
                </c:pt>
                <c:pt idx="55">
                  <c:v>140.97506713867188</c:v>
                </c:pt>
                <c:pt idx="56">
                  <c:v>130.35877990722656</c:v>
                </c:pt>
                <c:pt idx="57">
                  <c:v>130.689208984375</c:v>
                </c:pt>
                <c:pt idx="58">
                  <c:v>128.90164184570313</c:v>
                </c:pt>
                <c:pt idx="59">
                  <c:v>142.36643981933594</c:v>
                </c:pt>
                <c:pt idx="60">
                  <c:v>112.33326721191406</c:v>
                </c:pt>
                <c:pt idx="61">
                  <c:v>136.42637634277344</c:v>
                </c:pt>
                <c:pt idx="62">
                  <c:v>175.44340515136719</c:v>
                </c:pt>
                <c:pt idx="63">
                  <c:v>139.71894836425781</c:v>
                </c:pt>
                <c:pt idx="64">
                  <c:v>165.81121826171875</c:v>
                </c:pt>
                <c:pt idx="65">
                  <c:v>222.19857788085938</c:v>
                </c:pt>
                <c:pt idx="66">
                  <c:v>134.79460144042969</c:v>
                </c:pt>
                <c:pt idx="67">
                  <c:v>136.74961853027344</c:v>
                </c:pt>
                <c:pt idx="68">
                  <c:v>124.10614776611328</c:v>
                </c:pt>
                <c:pt idx="69">
                  <c:v>154.43557739257813</c:v>
                </c:pt>
                <c:pt idx="70">
                  <c:v>99.912399291992188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DF-4BDC-A72B-782FCF43A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603408"/>
        <c:axId val="305004784"/>
      </c:lineChart>
      <c:dateAx>
        <c:axId val="114603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004784"/>
        <c:crosses val="autoZero"/>
        <c:auto val="1"/>
        <c:lblOffset val="100"/>
        <c:baseTimeUnit val="months"/>
      </c:dateAx>
      <c:valAx>
        <c:axId val="30500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GPR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03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553750</xdr:colOff>
      <xdr:row>11</xdr:row>
      <xdr:rowOff>17510</xdr:rowOff>
    </xdr:from>
    <xdr:to>
      <xdr:col>13</xdr:col>
      <xdr:colOff>241377</xdr:colOff>
      <xdr:row>25</xdr:row>
      <xdr:rowOff>176536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85D39A-2269-6BF1-CF10-2C54B0BF8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4204A-9394-4342-955E-EB718320A322}">
  <dimension ref="A1:J73"/>
  <sheetViews>
    <sheetView tabSelected="1" zoomScale="161" zoomScaleNormal="161" workbookViewId="0">
      <selection activeCell="K4" sqref="K4"/>
    </sheetView>
  </sheetViews>
  <sheetFormatPr defaultRowHeight="14.4" x14ac:dyDescent="0.3"/>
  <cols>
    <col min="1" max="1" width="10.33203125" bestFit="1" customWidth="1"/>
    <col min="2" max="2" width="4.88671875" style="3" hidden="1" customWidth="1"/>
    <col min="3" max="3" width="8" bestFit="1" customWidth="1"/>
    <col min="4" max="4" width="6.5546875" bestFit="1" customWidth="1"/>
    <col min="5" max="5" width="11.77734375" customWidth="1"/>
  </cols>
  <sheetData>
    <row r="1" spans="1:10" x14ac:dyDescent="0.3">
      <c r="A1" s="6" t="s">
        <v>0</v>
      </c>
      <c r="B1" s="7" t="s">
        <v>13</v>
      </c>
      <c r="C1" s="6" t="s">
        <v>1</v>
      </c>
      <c r="D1" s="6" t="s">
        <v>15</v>
      </c>
      <c r="E1" s="6" t="s">
        <v>14</v>
      </c>
      <c r="G1" s="4" t="s">
        <v>11</v>
      </c>
      <c r="H1" s="4"/>
      <c r="I1" s="4"/>
      <c r="J1" s="4"/>
    </row>
    <row r="2" spans="1:10" x14ac:dyDescent="0.3">
      <c r="A2" s="1">
        <v>43831</v>
      </c>
      <c r="B2" s="3">
        <v>1</v>
      </c>
      <c r="C2" s="2">
        <v>138.42094421386719</v>
      </c>
      <c r="D2" s="2">
        <f>C2-H3</f>
        <v>18.994676294461101</v>
      </c>
      <c r="E2">
        <f>D2*D2</f>
        <v>360.79772753136251</v>
      </c>
      <c r="H2" s="5" t="s">
        <v>9</v>
      </c>
      <c r="I2" s="5" t="s">
        <v>10</v>
      </c>
    </row>
    <row r="3" spans="1:10" x14ac:dyDescent="0.3">
      <c r="A3" s="1">
        <v>43862</v>
      </c>
      <c r="B3" s="3">
        <f>B2+1</f>
        <v>2</v>
      </c>
      <c r="C3" s="2">
        <v>75.955558776855469</v>
      </c>
      <c r="D3" s="2">
        <f>C3-H3</f>
        <v>-43.470709142550618</v>
      </c>
      <c r="E3">
        <f t="shared" ref="E3:E66" si="0">D3*D3</f>
        <v>1889.7025533562339</v>
      </c>
      <c r="G3" t="s">
        <v>2</v>
      </c>
      <c r="H3" s="2">
        <f>AVERAGE(C2:C72)</f>
        <v>119.42626791940609</v>
      </c>
      <c r="I3" s="2">
        <f>SUM(C2:C72)/71</f>
        <v>119.42626791940609</v>
      </c>
    </row>
    <row r="4" spans="1:10" x14ac:dyDescent="0.3">
      <c r="A4" s="1">
        <v>43891</v>
      </c>
      <c r="B4" s="3">
        <f t="shared" ref="B4:B67" si="1">B3+1</f>
        <v>3</v>
      </c>
      <c r="C4" s="2">
        <v>81.540031433105497</v>
      </c>
      <c r="D4" s="2">
        <f>C4-H3</f>
        <v>-37.886236486300589</v>
      </c>
      <c r="E4">
        <f t="shared" si="0"/>
        <v>1435.366915095894</v>
      </c>
      <c r="G4" t="s">
        <v>3</v>
      </c>
      <c r="H4" s="2">
        <f>MEDIAN(C2:C72)</f>
        <v>113.09279632568359</v>
      </c>
    </row>
    <row r="5" spans="1:10" x14ac:dyDescent="0.3">
      <c r="A5" s="1">
        <v>43922</v>
      </c>
      <c r="B5" s="3">
        <f t="shared" si="1"/>
        <v>4</v>
      </c>
      <c r="C5" s="2">
        <v>69.339401245117188</v>
      </c>
      <c r="D5" s="2">
        <f>C5-H3</f>
        <v>-50.086866674288899</v>
      </c>
      <c r="E5">
        <f t="shared" si="0"/>
        <v>2508.6942132479921</v>
      </c>
      <c r="G5" t="s">
        <v>4</v>
      </c>
      <c r="H5" s="2">
        <f>MIN(C2:C72)</f>
        <v>58.420768737792969</v>
      </c>
    </row>
    <row r="6" spans="1:10" x14ac:dyDescent="0.3">
      <c r="A6" s="1">
        <v>43952</v>
      </c>
      <c r="B6" s="3">
        <f t="shared" si="1"/>
        <v>5</v>
      </c>
      <c r="C6" s="2">
        <v>68.507217407226563</v>
      </c>
      <c r="D6" s="2">
        <f>C6-$H$3</f>
        <v>-50.919050512179524</v>
      </c>
      <c r="E6">
        <f t="shared" si="0"/>
        <v>2592.7497050618899</v>
      </c>
      <c r="G6" t="s">
        <v>5</v>
      </c>
      <c r="H6" s="2">
        <f>MAX(C2:C72)</f>
        <v>318.95492553710938</v>
      </c>
    </row>
    <row r="7" spans="1:10" x14ac:dyDescent="0.3">
      <c r="A7" s="1">
        <v>43983</v>
      </c>
      <c r="B7" s="3">
        <f t="shared" si="1"/>
        <v>6</v>
      </c>
      <c r="C7" s="2">
        <v>71.227859497070313</v>
      </c>
      <c r="D7" s="2">
        <f>C7-$H$3</f>
        <v>-48.198408422335774</v>
      </c>
      <c r="E7">
        <f t="shared" si="0"/>
        <v>2323.0865744462881</v>
      </c>
      <c r="G7" t="s">
        <v>6</v>
      </c>
      <c r="H7" s="2">
        <f>H6-H5</f>
        <v>260.53415679931641</v>
      </c>
    </row>
    <row r="8" spans="1:10" x14ac:dyDescent="0.3">
      <c r="A8" s="1">
        <v>44013</v>
      </c>
      <c r="B8" s="3">
        <f t="shared" si="1"/>
        <v>7</v>
      </c>
      <c r="C8" s="2">
        <v>66.473281860351563</v>
      </c>
      <c r="D8" s="2">
        <f>C8-$H$3</f>
        <v>-52.952986059054524</v>
      </c>
      <c r="E8">
        <f t="shared" si="0"/>
        <v>2804.0187325704228</v>
      </c>
      <c r="G8" t="s">
        <v>7</v>
      </c>
      <c r="H8">
        <f>VAR(C2:C72)</f>
        <v>1937.6667593383379</v>
      </c>
      <c r="I8">
        <f>E73/71</f>
        <v>1910.3756782209</v>
      </c>
    </row>
    <row r="9" spans="1:10" x14ac:dyDescent="0.3">
      <c r="A9" s="1">
        <v>44044</v>
      </c>
      <c r="B9" s="3">
        <f t="shared" si="1"/>
        <v>8</v>
      </c>
      <c r="C9" s="2">
        <v>65.466049194335938</v>
      </c>
      <c r="D9" s="2">
        <f>C9-$H$3</f>
        <v>-53.960218725070149</v>
      </c>
      <c r="E9">
        <f t="shared" si="0"/>
        <v>2911.705204857411</v>
      </c>
      <c r="G9" t="s">
        <v>8</v>
      </c>
      <c r="H9">
        <f>STDEV(C2:C72)</f>
        <v>44.018936372183482</v>
      </c>
      <c r="I9">
        <f>SQRT(I8)</f>
        <v>43.707844584478195</v>
      </c>
    </row>
    <row r="10" spans="1:10" x14ac:dyDescent="0.3">
      <c r="A10" s="1">
        <v>44075</v>
      </c>
      <c r="B10" s="3">
        <f t="shared" si="1"/>
        <v>9</v>
      </c>
      <c r="C10" s="2">
        <v>80.37738037109375</v>
      </c>
      <c r="D10" s="2">
        <f>C10-$H$3</f>
        <v>-39.048887548312337</v>
      </c>
      <c r="E10">
        <f t="shared" si="0"/>
        <v>1524.8156187607422</v>
      </c>
    </row>
    <row r="11" spans="1:10" x14ac:dyDescent="0.3">
      <c r="A11" s="1">
        <v>44105</v>
      </c>
      <c r="B11" s="3">
        <f t="shared" si="1"/>
        <v>10</v>
      </c>
      <c r="C11" s="2">
        <v>76.083168029785156</v>
      </c>
      <c r="D11" s="2">
        <f>C11-$H$3</f>
        <v>-43.34309988962093</v>
      </c>
      <c r="E11">
        <f t="shared" si="0"/>
        <v>1878.624308041658</v>
      </c>
      <c r="G11" s="4" t="s">
        <v>12</v>
      </c>
    </row>
    <row r="12" spans="1:10" x14ac:dyDescent="0.3">
      <c r="A12" s="1">
        <v>44136</v>
      </c>
      <c r="B12" s="3">
        <f t="shared" si="1"/>
        <v>11</v>
      </c>
      <c r="C12" s="2">
        <v>70.067466735839844</v>
      </c>
      <c r="D12" s="2">
        <f>C12-$H$3</f>
        <v>-49.358801183566243</v>
      </c>
      <c r="E12">
        <f t="shared" si="0"/>
        <v>2436.2912542788204</v>
      </c>
    </row>
    <row r="13" spans="1:10" x14ac:dyDescent="0.3">
      <c r="A13" s="1">
        <v>44166</v>
      </c>
      <c r="B13" s="3">
        <f t="shared" si="1"/>
        <v>12</v>
      </c>
      <c r="C13" s="2">
        <v>64.067291259765625</v>
      </c>
      <c r="D13" s="2">
        <f>C13-$H$3</f>
        <v>-55.358976659640462</v>
      </c>
      <c r="E13">
        <f t="shared" si="0"/>
        <v>3064.6162968026174</v>
      </c>
    </row>
    <row r="14" spans="1:10" x14ac:dyDescent="0.3">
      <c r="A14" s="1">
        <v>44197</v>
      </c>
      <c r="B14" s="3">
        <f t="shared" si="1"/>
        <v>13</v>
      </c>
      <c r="C14" s="2">
        <v>77.418701171875</v>
      </c>
      <c r="D14" s="2">
        <f>C14-$H$3</f>
        <v>-42.007566747531087</v>
      </c>
      <c r="E14">
        <f t="shared" si="0"/>
        <v>1764.6356640482795</v>
      </c>
    </row>
    <row r="15" spans="1:10" x14ac:dyDescent="0.3">
      <c r="A15" s="1">
        <v>44228</v>
      </c>
      <c r="B15" s="3">
        <f t="shared" si="1"/>
        <v>14</v>
      </c>
      <c r="C15" s="2">
        <v>73.956802368164063</v>
      </c>
      <c r="D15" s="2">
        <f>C15-$H$3</f>
        <v>-45.469465551242024</v>
      </c>
      <c r="E15">
        <f t="shared" si="0"/>
        <v>2067.4722975155851</v>
      </c>
    </row>
    <row r="16" spans="1:10" x14ac:dyDescent="0.3">
      <c r="A16" s="1">
        <v>44256</v>
      </c>
      <c r="B16" s="3">
        <f t="shared" si="1"/>
        <v>15</v>
      </c>
      <c r="C16" s="2">
        <v>78.618766784667969</v>
      </c>
      <c r="D16" s="2">
        <f>C16-$H$3</f>
        <v>-40.807501134738118</v>
      </c>
      <c r="E16">
        <f t="shared" si="0"/>
        <v>1665.2521488616528</v>
      </c>
    </row>
    <row r="17" spans="1:5" x14ac:dyDescent="0.3">
      <c r="A17" s="1">
        <v>44287</v>
      </c>
      <c r="B17" s="3">
        <f t="shared" si="1"/>
        <v>16</v>
      </c>
      <c r="C17" s="2">
        <v>88.166221618652344</v>
      </c>
      <c r="D17" s="2">
        <f>C17-$H$3</f>
        <v>-31.260046300753743</v>
      </c>
      <c r="E17">
        <f t="shared" si="0"/>
        <v>977.19049472526774</v>
      </c>
    </row>
    <row r="18" spans="1:5" x14ac:dyDescent="0.3">
      <c r="A18" s="1">
        <v>44317</v>
      </c>
      <c r="B18" s="3">
        <f t="shared" si="1"/>
        <v>17</v>
      </c>
      <c r="C18" s="2">
        <v>93.007133483886719</v>
      </c>
      <c r="D18" s="2">
        <f>C18-$H$3</f>
        <v>-26.419134435519368</v>
      </c>
      <c r="E18">
        <f t="shared" si="0"/>
        <v>697.97066432204531</v>
      </c>
    </row>
    <row r="19" spans="1:5" x14ac:dyDescent="0.3">
      <c r="A19" s="1">
        <v>44348</v>
      </c>
      <c r="B19" s="3">
        <f t="shared" si="1"/>
        <v>18</v>
      </c>
      <c r="C19" s="2">
        <v>74.127120971679688</v>
      </c>
      <c r="D19" s="2">
        <f>C19-$H$3</f>
        <v>-45.299146947726399</v>
      </c>
      <c r="E19">
        <f t="shared" si="0"/>
        <v>2052.0127141917101</v>
      </c>
    </row>
    <row r="20" spans="1:5" x14ac:dyDescent="0.3">
      <c r="A20" s="1">
        <v>44378</v>
      </c>
      <c r="B20" s="3">
        <f t="shared" si="1"/>
        <v>19</v>
      </c>
      <c r="C20" s="2">
        <v>58.420768737792969</v>
      </c>
      <c r="D20" s="2">
        <f>C20-$H$3</f>
        <v>-61.005499181613118</v>
      </c>
      <c r="E20">
        <f t="shared" si="0"/>
        <v>3721.6709303977987</v>
      </c>
    </row>
    <row r="21" spans="1:5" x14ac:dyDescent="0.3">
      <c r="A21" s="1">
        <v>44409</v>
      </c>
      <c r="B21" s="3">
        <f t="shared" si="1"/>
        <v>20</v>
      </c>
      <c r="C21" s="2">
        <v>89.486549377441406</v>
      </c>
      <c r="D21" s="2">
        <f>C21-$H$3</f>
        <v>-29.93971854196468</v>
      </c>
      <c r="E21">
        <f t="shared" si="0"/>
        <v>896.38674637206373</v>
      </c>
    </row>
    <row r="22" spans="1:5" x14ac:dyDescent="0.3">
      <c r="A22" s="1">
        <v>44440</v>
      </c>
      <c r="B22" s="3">
        <f t="shared" si="1"/>
        <v>21</v>
      </c>
      <c r="C22" s="2">
        <v>80.696968078613281</v>
      </c>
      <c r="D22" s="2">
        <f>C22-$H$3</f>
        <v>-38.729299840792805</v>
      </c>
      <c r="E22">
        <f t="shared" si="0"/>
        <v>1499.9586661580336</v>
      </c>
    </row>
    <row r="23" spans="1:5" x14ac:dyDescent="0.3">
      <c r="A23" s="1">
        <v>44470</v>
      </c>
      <c r="B23" s="3">
        <f t="shared" si="1"/>
        <v>22</v>
      </c>
      <c r="C23" s="2">
        <v>79.02923583984375</v>
      </c>
      <c r="D23" s="2">
        <f>C23-$H$3</f>
        <v>-40.397032079562337</v>
      </c>
      <c r="E23">
        <f t="shared" si="0"/>
        <v>1631.9202008371885</v>
      </c>
    </row>
    <row r="24" spans="1:5" x14ac:dyDescent="0.3">
      <c r="A24" s="1">
        <v>44501</v>
      </c>
      <c r="B24" s="3">
        <f t="shared" si="1"/>
        <v>23</v>
      </c>
      <c r="C24" s="2">
        <v>86.569145202636719</v>
      </c>
      <c r="D24" s="2">
        <f>C24-$H$3</f>
        <v>-32.857122716769368</v>
      </c>
      <c r="E24">
        <f t="shared" si="0"/>
        <v>1079.5905132248417</v>
      </c>
    </row>
    <row r="25" spans="1:5" x14ac:dyDescent="0.3">
      <c r="A25" s="1">
        <v>44531</v>
      </c>
      <c r="B25" s="3">
        <f t="shared" si="1"/>
        <v>24</v>
      </c>
      <c r="C25" s="2">
        <v>105.34542083740234</v>
      </c>
      <c r="D25" s="2">
        <f>C25-$H$3</f>
        <v>-14.080847082003743</v>
      </c>
      <c r="E25">
        <f t="shared" si="0"/>
        <v>198.27025454677332</v>
      </c>
    </row>
    <row r="26" spans="1:5" x14ac:dyDescent="0.3">
      <c r="A26" s="1">
        <v>44562</v>
      </c>
      <c r="B26" s="3">
        <f t="shared" si="1"/>
        <v>25</v>
      </c>
      <c r="C26" s="2">
        <v>138.67498779296875</v>
      </c>
      <c r="D26" s="2">
        <f>C26-$H$3</f>
        <v>19.248719873562663</v>
      </c>
      <c r="E26">
        <f t="shared" si="0"/>
        <v>370.51321677088623</v>
      </c>
    </row>
    <row r="27" spans="1:5" x14ac:dyDescent="0.3">
      <c r="A27" s="1">
        <v>44593</v>
      </c>
      <c r="B27" s="3">
        <f t="shared" si="1"/>
        <v>26</v>
      </c>
      <c r="C27" s="2">
        <v>216.15901184082031</v>
      </c>
      <c r="D27" s="2">
        <f>C27-$H$3</f>
        <v>96.732743921414226</v>
      </c>
      <c r="E27">
        <f t="shared" si="0"/>
        <v>9357.2237465659</v>
      </c>
    </row>
    <row r="28" spans="1:5" x14ac:dyDescent="0.3">
      <c r="A28" s="1">
        <v>44621</v>
      </c>
      <c r="B28" s="3">
        <f t="shared" si="1"/>
        <v>27</v>
      </c>
      <c r="C28" s="2">
        <v>318.95492553710938</v>
      </c>
      <c r="D28" s="2">
        <f>C28-$H$3</f>
        <v>199.52865761770329</v>
      </c>
      <c r="E28">
        <f t="shared" si="0"/>
        <v>39811.685210722666</v>
      </c>
    </row>
    <row r="29" spans="1:5" x14ac:dyDescent="0.3">
      <c r="A29" s="1">
        <v>44652</v>
      </c>
      <c r="B29" s="3">
        <f t="shared" si="1"/>
        <v>28</v>
      </c>
      <c r="C29" s="2">
        <v>191.14309692382813</v>
      </c>
      <c r="D29" s="2">
        <f>C29-$H$3</f>
        <v>71.716829004422038</v>
      </c>
      <c r="E29">
        <f t="shared" si="0"/>
        <v>5143.3035624495105</v>
      </c>
    </row>
    <row r="30" spans="1:5" x14ac:dyDescent="0.3">
      <c r="A30" s="1">
        <v>44682</v>
      </c>
      <c r="B30" s="3">
        <f t="shared" si="1"/>
        <v>29</v>
      </c>
      <c r="C30" s="2">
        <v>142.25848388671875</v>
      </c>
      <c r="D30" s="2">
        <f>C30-$H$3</f>
        <v>22.832215967312663</v>
      </c>
      <c r="E30">
        <f t="shared" si="0"/>
        <v>521.31008597800735</v>
      </c>
    </row>
    <row r="31" spans="1:5" x14ac:dyDescent="0.3">
      <c r="A31" s="1">
        <v>44713</v>
      </c>
      <c r="B31" s="3">
        <f t="shared" si="1"/>
        <v>30</v>
      </c>
      <c r="C31" s="2">
        <v>130.70732116699219</v>
      </c>
      <c r="D31" s="2">
        <f>C31-$H$3</f>
        <v>11.281053247586101</v>
      </c>
      <c r="E31">
        <f t="shared" si="0"/>
        <v>127.26216237487291</v>
      </c>
    </row>
    <row r="32" spans="1:5" x14ac:dyDescent="0.3">
      <c r="A32" s="1">
        <v>44743</v>
      </c>
      <c r="B32" s="3">
        <f t="shared" si="1"/>
        <v>31</v>
      </c>
      <c r="C32" s="2">
        <v>117.17676544189453</v>
      </c>
      <c r="D32" s="2">
        <f>C32-$H$3</f>
        <v>-2.2495024775115553</v>
      </c>
      <c r="E32">
        <f t="shared" si="0"/>
        <v>5.0602613963306258</v>
      </c>
    </row>
    <row r="33" spans="1:5" x14ac:dyDescent="0.3">
      <c r="A33" s="1">
        <v>44774</v>
      </c>
      <c r="B33" s="3">
        <f t="shared" si="1"/>
        <v>32</v>
      </c>
      <c r="C33" s="2">
        <v>132.86322021484375</v>
      </c>
      <c r="D33" s="2">
        <f>C33-$H$3</f>
        <v>13.436952295437663</v>
      </c>
      <c r="E33">
        <f t="shared" si="0"/>
        <v>180.55168698986751</v>
      </c>
    </row>
    <row r="34" spans="1:5" x14ac:dyDescent="0.3">
      <c r="A34" s="1">
        <v>44805</v>
      </c>
      <c r="B34" s="3">
        <f t="shared" si="1"/>
        <v>33</v>
      </c>
      <c r="C34" s="2">
        <v>131.98587036132813</v>
      </c>
      <c r="D34" s="2">
        <f>C34-$H$3</f>
        <v>12.559602441922038</v>
      </c>
      <c r="E34">
        <f t="shared" si="0"/>
        <v>157.74361349913403</v>
      </c>
    </row>
    <row r="35" spans="1:5" x14ac:dyDescent="0.3">
      <c r="A35" s="1">
        <v>44835</v>
      </c>
      <c r="B35" s="3">
        <f t="shared" si="1"/>
        <v>34</v>
      </c>
      <c r="C35" s="2">
        <v>143.16241455078125</v>
      </c>
      <c r="D35" s="2">
        <f>C35-$H$3</f>
        <v>23.736146631375163</v>
      </c>
      <c r="E35">
        <f t="shared" si="0"/>
        <v>563.40465690614246</v>
      </c>
    </row>
    <row r="36" spans="1:5" x14ac:dyDescent="0.3">
      <c r="A36" s="1">
        <v>44866</v>
      </c>
      <c r="B36" s="3">
        <f t="shared" si="1"/>
        <v>35</v>
      </c>
      <c r="C36" s="2">
        <v>116.71628570556641</v>
      </c>
      <c r="D36" s="2">
        <f>C36-$H$3</f>
        <v>-2.7099822138396803</v>
      </c>
      <c r="E36">
        <f t="shared" si="0"/>
        <v>7.3440035993274151</v>
      </c>
    </row>
    <row r="37" spans="1:5" x14ac:dyDescent="0.3">
      <c r="A37" s="1">
        <v>44896</v>
      </c>
      <c r="B37" s="3">
        <f t="shared" si="1"/>
        <v>36</v>
      </c>
      <c r="C37" s="2">
        <v>111.19593811035156</v>
      </c>
      <c r="D37" s="2">
        <f>C37-$H$3</f>
        <v>-8.230329809054524</v>
      </c>
      <c r="E37">
        <f t="shared" si="0"/>
        <v>67.738328765811474</v>
      </c>
    </row>
    <row r="38" spans="1:5" x14ac:dyDescent="0.3">
      <c r="A38" s="1">
        <v>44927</v>
      </c>
      <c r="B38" s="3">
        <f t="shared" si="1"/>
        <v>37</v>
      </c>
      <c r="C38" s="2">
        <v>104.26704406738281</v>
      </c>
      <c r="D38" s="2">
        <f>C38-$H$3</f>
        <v>-15.159223852023274</v>
      </c>
      <c r="E38">
        <f t="shared" si="0"/>
        <v>229.80206779575136</v>
      </c>
    </row>
    <row r="39" spans="1:5" x14ac:dyDescent="0.3">
      <c r="A39" s="1">
        <v>44958</v>
      </c>
      <c r="B39" s="3">
        <f t="shared" si="1"/>
        <v>38</v>
      </c>
      <c r="C39" s="2">
        <v>120.99437713623047</v>
      </c>
      <c r="D39" s="2">
        <f>C39-$H$3</f>
        <v>1.5681092168243822</v>
      </c>
      <c r="E39">
        <f t="shared" si="0"/>
        <v>2.4589665158895775</v>
      </c>
    </row>
    <row r="40" spans="1:5" x14ac:dyDescent="0.3">
      <c r="A40" s="1">
        <v>44986</v>
      </c>
      <c r="B40" s="3">
        <f t="shared" si="1"/>
        <v>39</v>
      </c>
      <c r="C40" s="2">
        <v>105.37997436523438</v>
      </c>
      <c r="D40" s="2">
        <f>C40-$H$3</f>
        <v>-14.046293554171712</v>
      </c>
      <c r="E40">
        <f t="shared" si="0"/>
        <v>197.29836260996578</v>
      </c>
    </row>
    <row r="41" spans="1:5" x14ac:dyDescent="0.3">
      <c r="A41" s="1">
        <v>45017</v>
      </c>
      <c r="B41" s="3">
        <f t="shared" si="1"/>
        <v>40</v>
      </c>
      <c r="C41" s="2">
        <v>106.80965423583984</v>
      </c>
      <c r="D41" s="2">
        <f>C41-$H$3</f>
        <v>-12.616613683566243</v>
      </c>
      <c r="E41">
        <f t="shared" si="0"/>
        <v>159.17894084035095</v>
      </c>
    </row>
    <row r="42" spans="1:5" x14ac:dyDescent="0.3">
      <c r="A42" s="1">
        <v>45047</v>
      </c>
      <c r="B42" s="3">
        <f t="shared" si="1"/>
        <v>41</v>
      </c>
      <c r="C42" s="2">
        <v>108.46768188476563</v>
      </c>
      <c r="D42" s="2">
        <f>C42-$H$3</f>
        <v>-10.958586034640462</v>
      </c>
      <c r="E42">
        <f t="shared" si="0"/>
        <v>120.09060787861695</v>
      </c>
    </row>
    <row r="43" spans="1:5" x14ac:dyDescent="0.3">
      <c r="A43" s="1">
        <v>45078</v>
      </c>
      <c r="B43" s="3">
        <f t="shared" si="1"/>
        <v>42</v>
      </c>
      <c r="C43" s="2">
        <v>110.52894592285156</v>
      </c>
      <c r="D43" s="2">
        <f>C43-$H$3</f>
        <v>-8.897321996554524</v>
      </c>
      <c r="E43">
        <f t="shared" si="0"/>
        <v>79.162338710372978</v>
      </c>
    </row>
    <row r="44" spans="1:5" x14ac:dyDescent="0.3">
      <c r="A44" s="1">
        <v>45108</v>
      </c>
      <c r="B44" s="3">
        <f t="shared" si="1"/>
        <v>43</v>
      </c>
      <c r="C44" s="2">
        <v>107.44878387451172</v>
      </c>
      <c r="D44" s="2">
        <f>C44-$H$3</f>
        <v>-11.977484044894368</v>
      </c>
      <c r="E44">
        <f t="shared" si="0"/>
        <v>143.46012404569913</v>
      </c>
    </row>
    <row r="45" spans="1:5" x14ac:dyDescent="0.3">
      <c r="A45" s="1">
        <v>45139</v>
      </c>
      <c r="B45" s="3">
        <f t="shared" si="1"/>
        <v>44</v>
      </c>
      <c r="C45" s="2">
        <v>101.14118194580078</v>
      </c>
      <c r="D45" s="2">
        <f>C45-$H$3</f>
        <v>-18.285085973605305</v>
      </c>
      <c r="E45">
        <f t="shared" si="0"/>
        <v>334.3443690621375</v>
      </c>
    </row>
    <row r="46" spans="1:5" x14ac:dyDescent="0.3">
      <c r="A46" s="1">
        <v>45170</v>
      </c>
      <c r="B46" s="3">
        <f t="shared" si="1"/>
        <v>45</v>
      </c>
      <c r="C46" s="2">
        <v>98.634811401367188</v>
      </c>
      <c r="D46" s="2">
        <f>C46-$H$3</f>
        <v>-20.791456518038899</v>
      </c>
      <c r="E46">
        <f t="shared" si="0"/>
        <v>432.28466414150222</v>
      </c>
    </row>
    <row r="47" spans="1:5" x14ac:dyDescent="0.3">
      <c r="A47" s="1">
        <v>45200</v>
      </c>
      <c r="B47" s="3">
        <f t="shared" si="1"/>
        <v>46</v>
      </c>
      <c r="C47" s="2">
        <v>197.88700866699219</v>
      </c>
      <c r="D47" s="2">
        <f>C47-$H$3</f>
        <v>78.460740747586101</v>
      </c>
      <c r="E47">
        <f t="shared" si="0"/>
        <v>6156.0878386599179</v>
      </c>
    </row>
    <row r="48" spans="1:5" x14ac:dyDescent="0.3">
      <c r="A48" s="1">
        <v>45231</v>
      </c>
      <c r="B48" s="3">
        <f t="shared" si="1"/>
        <v>47</v>
      </c>
      <c r="C48" s="2">
        <v>156.69613647460938</v>
      </c>
      <c r="D48" s="2">
        <f>C48-$H$3</f>
        <v>37.269868555203288</v>
      </c>
      <c r="E48">
        <f t="shared" si="0"/>
        <v>1389.0431021221309</v>
      </c>
    </row>
    <row r="49" spans="1:5" x14ac:dyDescent="0.3">
      <c r="A49" s="1">
        <v>45261</v>
      </c>
      <c r="B49" s="3">
        <f t="shared" si="1"/>
        <v>48</v>
      </c>
      <c r="C49" s="2">
        <v>142.27946472167969</v>
      </c>
      <c r="D49" s="2">
        <f>C49-$H$3</f>
        <v>22.853196802273601</v>
      </c>
      <c r="E49">
        <f t="shared" si="0"/>
        <v>522.26860408344839</v>
      </c>
    </row>
    <row r="50" spans="1:5" x14ac:dyDescent="0.3">
      <c r="A50" s="1">
        <v>45292</v>
      </c>
      <c r="B50" s="3">
        <f t="shared" si="1"/>
        <v>49</v>
      </c>
      <c r="C50" s="2">
        <v>160.3736572265625</v>
      </c>
      <c r="D50" s="2">
        <f>C50-$H$3</f>
        <v>40.947389307156413</v>
      </c>
      <c r="E50">
        <f t="shared" si="0"/>
        <v>1676.6886910718274</v>
      </c>
    </row>
    <row r="51" spans="1:5" x14ac:dyDescent="0.3">
      <c r="A51" s="1">
        <v>45323</v>
      </c>
      <c r="B51" s="3">
        <f t="shared" si="1"/>
        <v>50</v>
      </c>
      <c r="C51" s="2">
        <v>146.59817504882813</v>
      </c>
      <c r="D51" s="2">
        <f>C51-$H$3</f>
        <v>27.171907129422038</v>
      </c>
      <c r="E51">
        <f t="shared" si="0"/>
        <v>738.31253704993617</v>
      </c>
    </row>
    <row r="52" spans="1:5" x14ac:dyDescent="0.3">
      <c r="A52" s="1">
        <v>45352</v>
      </c>
      <c r="B52" s="3">
        <f t="shared" si="1"/>
        <v>51</v>
      </c>
      <c r="C52" s="2">
        <v>133.21316528320313</v>
      </c>
      <c r="D52" s="2">
        <f>C52-$H$3</f>
        <v>13.786897363797038</v>
      </c>
      <c r="E52">
        <f t="shared" si="0"/>
        <v>190.07853891987372</v>
      </c>
    </row>
    <row r="53" spans="1:5" x14ac:dyDescent="0.3">
      <c r="A53" s="1">
        <v>45383</v>
      </c>
      <c r="B53" s="3">
        <f t="shared" si="1"/>
        <v>52</v>
      </c>
      <c r="C53" s="2">
        <v>163.94734191894531</v>
      </c>
      <c r="D53" s="2">
        <f>C53-$H$3</f>
        <v>44.521073999539226</v>
      </c>
      <c r="E53">
        <f t="shared" si="0"/>
        <v>1982.1260300724477</v>
      </c>
    </row>
    <row r="54" spans="1:5" x14ac:dyDescent="0.3">
      <c r="A54" s="1">
        <v>45413</v>
      </c>
      <c r="B54" s="3">
        <f t="shared" si="1"/>
        <v>53</v>
      </c>
      <c r="C54" s="2">
        <v>130.52186584472656</v>
      </c>
      <c r="D54" s="2">
        <f>C54-$H$3</f>
        <v>11.095597925320476</v>
      </c>
      <c r="E54">
        <f t="shared" si="0"/>
        <v>123.11229332037605</v>
      </c>
    </row>
    <row r="55" spans="1:5" x14ac:dyDescent="0.3">
      <c r="A55" s="1">
        <v>45444</v>
      </c>
      <c r="B55" s="3">
        <f t="shared" si="1"/>
        <v>54</v>
      </c>
      <c r="C55" s="2">
        <v>113.09279632568359</v>
      </c>
      <c r="D55" s="2">
        <f>C55-$H$3</f>
        <v>-6.3334715937224928</v>
      </c>
      <c r="E55">
        <f t="shared" si="0"/>
        <v>40.112862428489734</v>
      </c>
    </row>
    <row r="56" spans="1:5" x14ac:dyDescent="0.3">
      <c r="A56" s="1">
        <v>45474</v>
      </c>
      <c r="B56" s="3">
        <f t="shared" si="1"/>
        <v>55</v>
      </c>
      <c r="C56" s="2">
        <v>92.394874572753906</v>
      </c>
      <c r="D56" s="2">
        <f>C56-$H$3</f>
        <v>-27.03139334665218</v>
      </c>
      <c r="E56">
        <f t="shared" si="0"/>
        <v>730.69622626143178</v>
      </c>
    </row>
    <row r="57" spans="1:5" x14ac:dyDescent="0.3">
      <c r="A57" s="1">
        <v>45505</v>
      </c>
      <c r="B57" s="3">
        <f t="shared" si="1"/>
        <v>56</v>
      </c>
      <c r="C57" s="2">
        <v>140.97506713867188</v>
      </c>
      <c r="D57" s="2">
        <f>C57-$H$3</f>
        <v>21.548799219265788</v>
      </c>
      <c r="E57">
        <f t="shared" si="0"/>
        <v>464.35074779222987</v>
      </c>
    </row>
    <row r="58" spans="1:5" x14ac:dyDescent="0.3">
      <c r="A58" s="1">
        <v>45536</v>
      </c>
      <c r="B58" s="3">
        <f t="shared" si="1"/>
        <v>57</v>
      </c>
      <c r="C58" s="2">
        <v>130.35877990722656</v>
      </c>
      <c r="D58" s="2">
        <f>C58-$H$3</f>
        <v>10.932511987820476</v>
      </c>
      <c r="E58">
        <f t="shared" si="0"/>
        <v>119.51981836383841</v>
      </c>
    </row>
    <row r="59" spans="1:5" x14ac:dyDescent="0.3">
      <c r="A59" s="1">
        <v>45566</v>
      </c>
      <c r="B59" s="3">
        <f t="shared" si="1"/>
        <v>58</v>
      </c>
      <c r="C59" s="2">
        <v>130.689208984375</v>
      </c>
      <c r="D59" s="2">
        <f>C59-$H$3</f>
        <v>11.262941064968913</v>
      </c>
      <c r="E59">
        <f t="shared" si="0"/>
        <v>126.85384143296308</v>
      </c>
    </row>
    <row r="60" spans="1:5" x14ac:dyDescent="0.3">
      <c r="A60" s="1">
        <v>45597</v>
      </c>
      <c r="B60" s="3">
        <f t="shared" si="1"/>
        <v>59</v>
      </c>
      <c r="C60" s="2">
        <v>128.90164184570313</v>
      </c>
      <c r="D60" s="2">
        <f>C60-$H$3</f>
        <v>9.4753739262970385</v>
      </c>
      <c r="E60">
        <f t="shared" si="0"/>
        <v>89.78271104314976</v>
      </c>
    </row>
    <row r="61" spans="1:5" x14ac:dyDescent="0.3">
      <c r="A61" s="1">
        <v>45627</v>
      </c>
      <c r="B61" s="3">
        <f t="shared" si="1"/>
        <v>60</v>
      </c>
      <c r="C61" s="2">
        <v>142.36643981933594</v>
      </c>
      <c r="D61" s="2">
        <f>C61-$H$3</f>
        <v>22.940171899929851</v>
      </c>
      <c r="E61">
        <f t="shared" si="0"/>
        <v>526.25148679833114</v>
      </c>
    </row>
    <row r="62" spans="1:5" x14ac:dyDescent="0.3">
      <c r="A62" s="1">
        <v>45658</v>
      </c>
      <c r="B62" s="3">
        <f t="shared" si="1"/>
        <v>61</v>
      </c>
      <c r="C62" s="2">
        <v>112.33326721191406</v>
      </c>
      <c r="D62" s="2">
        <f>C62-$H$3</f>
        <v>-7.093000707492024</v>
      </c>
      <c r="E62">
        <f t="shared" si="0"/>
        <v>50.310659036482356</v>
      </c>
    </row>
    <row r="63" spans="1:5" x14ac:dyDescent="0.3">
      <c r="A63" s="1">
        <v>45689</v>
      </c>
      <c r="B63" s="3">
        <f t="shared" si="1"/>
        <v>62</v>
      </c>
      <c r="C63" s="2">
        <v>136.42637634277344</v>
      </c>
      <c r="D63" s="2">
        <f>C63-$H$3</f>
        <v>17.000108423367351</v>
      </c>
      <c r="E63">
        <f t="shared" si="0"/>
        <v>289.00368640624555</v>
      </c>
    </row>
    <row r="64" spans="1:5" x14ac:dyDescent="0.3">
      <c r="A64" s="1">
        <v>45717</v>
      </c>
      <c r="B64" s="3">
        <f t="shared" si="1"/>
        <v>63</v>
      </c>
      <c r="C64" s="2">
        <v>175.44340515136719</v>
      </c>
      <c r="D64" s="2">
        <f>C64-$H$3</f>
        <v>56.017137231961101</v>
      </c>
      <c r="E64">
        <f t="shared" si="0"/>
        <v>3137.9196636643628</v>
      </c>
    </row>
    <row r="65" spans="1:5" x14ac:dyDescent="0.3">
      <c r="A65" s="1">
        <v>45748</v>
      </c>
      <c r="B65" s="3">
        <f t="shared" si="1"/>
        <v>64</v>
      </c>
      <c r="C65" s="2">
        <v>139.71894836425781</v>
      </c>
      <c r="D65" s="2">
        <f>C65-$H$3</f>
        <v>20.292680444851726</v>
      </c>
      <c r="E65">
        <f t="shared" si="0"/>
        <v>411.79287963686767</v>
      </c>
    </row>
    <row r="66" spans="1:5" x14ac:dyDescent="0.3">
      <c r="A66" s="1">
        <v>45778</v>
      </c>
      <c r="B66" s="3">
        <f t="shared" si="1"/>
        <v>65</v>
      </c>
      <c r="C66" s="2">
        <v>165.81121826171875</v>
      </c>
      <c r="D66" s="2">
        <f>C66-$H$3</f>
        <v>46.384950342312663</v>
      </c>
      <c r="E66">
        <f t="shared" si="0"/>
        <v>2151.5636182588119</v>
      </c>
    </row>
    <row r="67" spans="1:5" x14ac:dyDescent="0.3">
      <c r="A67" s="1">
        <v>45809</v>
      </c>
      <c r="B67" s="3">
        <f t="shared" si="1"/>
        <v>66</v>
      </c>
      <c r="C67" s="2">
        <v>222.19857788085938</v>
      </c>
      <c r="D67" s="2">
        <f>C67-$H$3</f>
        <v>102.77230996145329</v>
      </c>
      <c r="E67">
        <f t="shared" ref="E67:E72" si="2">D67*D67</f>
        <v>10562.147694813031</v>
      </c>
    </row>
    <row r="68" spans="1:5" x14ac:dyDescent="0.3">
      <c r="A68" s="1">
        <v>45839</v>
      </c>
      <c r="B68" s="3">
        <f t="shared" ref="B68:B72" si="3">B67+1</f>
        <v>67</v>
      </c>
      <c r="C68" s="2">
        <v>134.79460144042969</v>
      </c>
      <c r="D68" s="2">
        <f>C68-$H$3</f>
        <v>15.368333521023601</v>
      </c>
      <c r="E68">
        <f t="shared" si="2"/>
        <v>236.18567521341768</v>
      </c>
    </row>
    <row r="69" spans="1:5" x14ac:dyDescent="0.3">
      <c r="A69" s="1">
        <v>45870</v>
      </c>
      <c r="B69" s="3">
        <f t="shared" si="3"/>
        <v>68</v>
      </c>
      <c r="C69" s="2">
        <v>136.74961853027344</v>
      </c>
      <c r="D69" s="2">
        <f>C69-$H$3</f>
        <v>17.323350610867351</v>
      </c>
      <c r="E69">
        <f t="shared" si="2"/>
        <v>300.0984763870382</v>
      </c>
    </row>
    <row r="70" spans="1:5" x14ac:dyDescent="0.3">
      <c r="A70" s="1">
        <v>45901</v>
      </c>
      <c r="B70" s="3">
        <f t="shared" si="3"/>
        <v>69</v>
      </c>
      <c r="C70" s="2">
        <v>124.10614776611328</v>
      </c>
      <c r="D70" s="2">
        <f>C70-$H$3</f>
        <v>4.6798798467071947</v>
      </c>
      <c r="E70">
        <f t="shared" si="2"/>
        <v>21.901275379616155</v>
      </c>
    </row>
    <row r="71" spans="1:5" x14ac:dyDescent="0.3">
      <c r="A71" s="1">
        <v>45931</v>
      </c>
      <c r="B71" s="3">
        <f t="shared" si="3"/>
        <v>70</v>
      </c>
      <c r="C71" s="2">
        <v>154.43557739257813</v>
      </c>
      <c r="D71" s="2">
        <f>C71-$H$3</f>
        <v>35.009309473172038</v>
      </c>
      <c r="E71">
        <f t="shared" si="2"/>
        <v>1225.6517497883335</v>
      </c>
    </row>
    <row r="72" spans="1:5" x14ac:dyDescent="0.3">
      <c r="A72" s="1">
        <v>45962</v>
      </c>
      <c r="B72" s="3">
        <f t="shared" si="3"/>
        <v>71</v>
      </c>
      <c r="C72" s="2">
        <v>99.912399291992188</v>
      </c>
      <c r="D72" s="2">
        <f>C72-$H$3</f>
        <v>-19.513868627413899</v>
      </c>
      <c r="E72">
        <f t="shared" si="2"/>
        <v>380.79106880796843</v>
      </c>
    </row>
    <row r="73" spans="1:5" x14ac:dyDescent="0.3">
      <c r="C73" s="2">
        <f>SUM(C2:C72)</f>
        <v>8479.265022277832</v>
      </c>
      <c r="E73">
        <f>SUM(E2:E72)</f>
        <v>135636.67315368389</v>
      </c>
    </row>
  </sheetData>
  <pageMargins left="0.7" right="0.7" top="0.75" bottom="0.75" header="0.3" footer="0.3"/>
  <pageSetup paperSize="9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Mogneeshwar J K U</dc:creator>
  <cp:lastModifiedBy>Mogneeshwar J K U</cp:lastModifiedBy>
  <cp:lastPrinted>2025-12-16T04:05:30Z</cp:lastPrinted>
  <dcterms:created xsi:type="dcterms:W3CDTF">2025-12-16T01:54:55Z</dcterms:created>
  <dcterms:modified xsi:type="dcterms:W3CDTF">2025-12-16T18:41:39Z</dcterms:modified>
</cp:coreProperties>
</file>