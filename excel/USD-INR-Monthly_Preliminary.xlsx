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Tharani\VIT-MS\Semester 4\EA-Project\SecondReview\"/>
    </mc:Choice>
  </mc:AlternateContent>
  <xr:revisionPtr revIDLastSave="0" documentId="13_ncr:1_{9B480987-1531-40E4-9D21-49E9068FB103}" xr6:coauthVersionLast="47" xr6:coauthVersionMax="47" xr10:uidLastSave="{00000000-0000-0000-0000-000000000000}"/>
  <bookViews>
    <workbookView xWindow="-108" yWindow="-108" windowWidth="23256" windowHeight="12456" xr2:uid="{DE1B3058-9343-4602-9ED2-FED7CAF15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0" i="1" l="1"/>
  <c r="D70" i="1" s="1"/>
  <c r="C69" i="1"/>
  <c r="D69" i="1" s="1"/>
  <c r="C66" i="1"/>
  <c r="D66" i="1" s="1"/>
  <c r="C65" i="1"/>
  <c r="D65" i="1" s="1"/>
  <c r="C62" i="1"/>
  <c r="D62" i="1" s="1"/>
  <c r="C61" i="1"/>
  <c r="D61" i="1" s="1"/>
  <c r="C58" i="1"/>
  <c r="D58" i="1" s="1"/>
  <c r="C57" i="1"/>
  <c r="D57" i="1" s="1"/>
  <c r="C54" i="1"/>
  <c r="D54" i="1" s="1"/>
  <c r="C53" i="1"/>
  <c r="D53" i="1" s="1"/>
  <c r="C50" i="1"/>
  <c r="D50" i="1" s="1"/>
  <c r="C49" i="1"/>
  <c r="D49" i="1" s="1"/>
  <c r="C46" i="1"/>
  <c r="D46" i="1" s="1"/>
  <c r="C45" i="1"/>
  <c r="D45" i="1" s="1"/>
  <c r="C42" i="1"/>
  <c r="D42" i="1" s="1"/>
  <c r="C41" i="1"/>
  <c r="D41" i="1" s="1"/>
  <c r="C38" i="1"/>
  <c r="D38" i="1" s="1"/>
  <c r="C37" i="1"/>
  <c r="D37" i="1" s="1"/>
  <c r="C34" i="1"/>
  <c r="D34" i="1" s="1"/>
  <c r="C33" i="1"/>
  <c r="D33" i="1" s="1"/>
  <c r="C30" i="1"/>
  <c r="D30" i="1" s="1"/>
  <c r="C29" i="1"/>
  <c r="D29" i="1" s="1"/>
  <c r="C26" i="1"/>
  <c r="D26" i="1" s="1"/>
  <c r="C25" i="1"/>
  <c r="D25" i="1" s="1"/>
  <c r="C22" i="1"/>
  <c r="D22" i="1" s="1"/>
  <c r="C21" i="1"/>
  <c r="D21" i="1" s="1"/>
  <c r="C18" i="1"/>
  <c r="D18" i="1" s="1"/>
  <c r="C17" i="1"/>
  <c r="D17" i="1" s="1"/>
  <c r="C14" i="1"/>
  <c r="D14" i="1" s="1"/>
  <c r="C13" i="1"/>
  <c r="D13" i="1" s="1"/>
  <c r="C10" i="1"/>
  <c r="D10" i="1" s="1"/>
  <c r="C9" i="1"/>
  <c r="D9" i="1" s="1"/>
  <c r="C6" i="1"/>
  <c r="D6" i="1" s="1"/>
  <c r="C5" i="1"/>
  <c r="D5" i="1" s="1"/>
  <c r="C2" i="1"/>
  <c r="D2" i="1" s="1"/>
  <c r="G8" i="1"/>
  <c r="G7" i="1"/>
  <c r="G5" i="1"/>
  <c r="G4" i="1"/>
  <c r="G3" i="1"/>
  <c r="G2" i="1"/>
  <c r="C72" i="1" s="1"/>
  <c r="D72" i="1" s="1"/>
  <c r="G6" i="1" l="1"/>
  <c r="C3" i="1"/>
  <c r="D3" i="1" s="1"/>
  <c r="C7" i="1"/>
  <c r="D7" i="1" s="1"/>
  <c r="C11" i="1"/>
  <c r="D11" i="1" s="1"/>
  <c r="C15" i="1"/>
  <c r="D15" i="1" s="1"/>
  <c r="C19" i="1"/>
  <c r="D19" i="1" s="1"/>
  <c r="C23" i="1"/>
  <c r="D23" i="1" s="1"/>
  <c r="C27" i="1"/>
  <c r="D27" i="1" s="1"/>
  <c r="C31" i="1"/>
  <c r="D31" i="1" s="1"/>
  <c r="C35" i="1"/>
  <c r="D35" i="1" s="1"/>
  <c r="C39" i="1"/>
  <c r="D39" i="1" s="1"/>
  <c r="C43" i="1"/>
  <c r="D43" i="1" s="1"/>
  <c r="C47" i="1"/>
  <c r="D47" i="1" s="1"/>
  <c r="C51" i="1"/>
  <c r="D51" i="1" s="1"/>
  <c r="C55" i="1"/>
  <c r="D55" i="1" s="1"/>
  <c r="C59" i="1"/>
  <c r="D59" i="1" s="1"/>
  <c r="C63" i="1"/>
  <c r="D63" i="1" s="1"/>
  <c r="C67" i="1"/>
  <c r="D67" i="1" s="1"/>
  <c r="C71" i="1"/>
  <c r="D71" i="1" s="1"/>
  <c r="C4" i="1"/>
  <c r="D4" i="1" s="1"/>
  <c r="C8" i="1"/>
  <c r="D8" i="1" s="1"/>
  <c r="C12" i="1"/>
  <c r="D12" i="1" s="1"/>
  <c r="C16" i="1"/>
  <c r="D16" i="1" s="1"/>
  <c r="C20" i="1"/>
  <c r="D20" i="1" s="1"/>
  <c r="C24" i="1"/>
  <c r="D24" i="1" s="1"/>
  <c r="C28" i="1"/>
  <c r="D28" i="1" s="1"/>
  <c r="C32" i="1"/>
  <c r="D32" i="1" s="1"/>
  <c r="C36" i="1"/>
  <c r="D36" i="1" s="1"/>
  <c r="C40" i="1"/>
  <c r="D40" i="1" s="1"/>
  <c r="C44" i="1"/>
  <c r="D44" i="1" s="1"/>
  <c r="C48" i="1"/>
  <c r="D48" i="1" s="1"/>
  <c r="C52" i="1"/>
  <c r="D52" i="1" s="1"/>
  <c r="C56" i="1"/>
  <c r="D56" i="1" s="1"/>
  <c r="C60" i="1"/>
  <c r="D60" i="1" s="1"/>
  <c r="C64" i="1"/>
  <c r="D64" i="1" s="1"/>
  <c r="C68" i="1"/>
  <c r="D68" i="1" s="1"/>
</calcChain>
</file>

<file path=xl/sharedStrings.xml><?xml version="1.0" encoding="utf-8"?>
<sst xmlns="http://schemas.openxmlformats.org/spreadsheetml/2006/main" count="13" uniqueCount="13">
  <si>
    <t>Date</t>
  </si>
  <si>
    <t>x − x̄</t>
  </si>
  <si>
    <t>(x − x̄)²</t>
  </si>
  <si>
    <t>Mean</t>
  </si>
  <si>
    <t>Median</t>
  </si>
  <si>
    <t>Min</t>
  </si>
  <si>
    <t>Max</t>
  </si>
  <si>
    <t>Range</t>
  </si>
  <si>
    <t>Line Graph</t>
  </si>
  <si>
    <t>Descriptive Statistics of USD/INR Exchange Rate (2020–2025)</t>
  </si>
  <si>
    <t>USD/INR Exchange Rate</t>
  </si>
  <si>
    <t>Variance(sample)</t>
  </si>
  <si>
    <t>Standard Deviation(sample)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</si>
</sst>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USD/INR Exchange Rate Movement (2020–2025)</a:t>
            </a:r>
          </a:p>
          <a:p>
            <a:pPr>
              <a:defRPr/>
            </a:pPr>
            <a:r>
              <a:rPr lang="en-US"/>
              <a:t>VIT Project</a:t>
            </a:r>
          </a:p>
        </c:rich>
      </c:tx>
      <c:layout>
        <c:manualLayout>
          <c:xMode val="edge"/>
          <c:yMode val="edge"/>
          <c:x val="0.12103018372703413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USD/INR Exchange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Sheet1!$A$2:$A$72</c:f>
              <c:numCache>
                <c:formatCode>m/d/yyyy</c:formatCode>
                <c:ptCount val="71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</c:numCache>
            </c:numRef>
          </c:cat>
          <c:val>
            <c:numRef>
              <c:f>Sheet1!$B$2:$B$72</c:f>
              <c:numCache>
                <c:formatCode>General</c:formatCode>
                <c:ptCount val="71"/>
                <c:pt idx="0">
                  <c:v>71.540000000000006</c:v>
                </c:pt>
                <c:pt idx="1">
                  <c:v>72.534000000000006</c:v>
                </c:pt>
                <c:pt idx="2">
                  <c:v>75.332999999999998</c:v>
                </c:pt>
                <c:pt idx="3">
                  <c:v>75.076999999999998</c:v>
                </c:pt>
                <c:pt idx="4">
                  <c:v>75.59</c:v>
                </c:pt>
                <c:pt idx="5">
                  <c:v>75.540000000000006</c:v>
                </c:pt>
                <c:pt idx="6">
                  <c:v>74.915999999999997</c:v>
                </c:pt>
                <c:pt idx="7">
                  <c:v>73.254000000000005</c:v>
                </c:pt>
                <c:pt idx="8">
                  <c:v>73.56</c:v>
                </c:pt>
                <c:pt idx="9">
                  <c:v>74.554000000000002</c:v>
                </c:pt>
                <c:pt idx="10">
                  <c:v>73.989999999999995</c:v>
                </c:pt>
                <c:pt idx="11">
                  <c:v>73.036000000000001</c:v>
                </c:pt>
                <c:pt idx="12">
                  <c:v>72.876999999999995</c:v>
                </c:pt>
                <c:pt idx="13">
                  <c:v>73.92</c:v>
                </c:pt>
                <c:pt idx="14">
                  <c:v>73.137</c:v>
                </c:pt>
                <c:pt idx="15">
                  <c:v>74.05</c:v>
                </c:pt>
                <c:pt idx="16">
                  <c:v>72.510999999999996</c:v>
                </c:pt>
                <c:pt idx="17">
                  <c:v>74.36</c:v>
                </c:pt>
                <c:pt idx="18">
                  <c:v>74.337000000000003</c:v>
                </c:pt>
                <c:pt idx="19">
                  <c:v>72.947000000000003</c:v>
                </c:pt>
                <c:pt idx="20">
                  <c:v>74.164000000000001</c:v>
                </c:pt>
                <c:pt idx="21">
                  <c:v>74.915000000000006</c:v>
                </c:pt>
                <c:pt idx="22">
                  <c:v>75.09</c:v>
                </c:pt>
                <c:pt idx="23">
                  <c:v>74.466999999999999</c:v>
                </c:pt>
                <c:pt idx="24">
                  <c:v>74.528999999999996</c:v>
                </c:pt>
                <c:pt idx="25">
                  <c:v>75.492999999999995</c:v>
                </c:pt>
                <c:pt idx="26">
                  <c:v>75.900999999999996</c:v>
                </c:pt>
                <c:pt idx="27">
                  <c:v>76.52</c:v>
                </c:pt>
                <c:pt idx="28">
                  <c:v>77.569000000000003</c:v>
                </c:pt>
                <c:pt idx="29">
                  <c:v>78.95</c:v>
                </c:pt>
                <c:pt idx="30">
                  <c:v>79.335999999999999</c:v>
                </c:pt>
                <c:pt idx="31">
                  <c:v>79.491</c:v>
                </c:pt>
                <c:pt idx="32">
                  <c:v>81.509</c:v>
                </c:pt>
                <c:pt idx="33">
                  <c:v>82.77</c:v>
                </c:pt>
                <c:pt idx="34">
                  <c:v>81.358999999999995</c:v>
                </c:pt>
                <c:pt idx="35">
                  <c:v>82.716999999999999</c:v>
                </c:pt>
                <c:pt idx="36">
                  <c:v>81.739000000000004</c:v>
                </c:pt>
                <c:pt idx="37">
                  <c:v>82.64</c:v>
                </c:pt>
                <c:pt idx="38">
                  <c:v>82.16</c:v>
                </c:pt>
                <c:pt idx="39">
                  <c:v>81.72</c:v>
                </c:pt>
                <c:pt idx="40">
                  <c:v>82.68</c:v>
                </c:pt>
                <c:pt idx="41">
                  <c:v>82.090999999999994</c:v>
                </c:pt>
                <c:pt idx="42">
                  <c:v>82.24</c:v>
                </c:pt>
                <c:pt idx="43">
                  <c:v>82.701999999999998</c:v>
                </c:pt>
                <c:pt idx="44">
                  <c:v>83.03</c:v>
                </c:pt>
                <c:pt idx="45">
                  <c:v>83.256</c:v>
                </c:pt>
                <c:pt idx="46">
                  <c:v>83.356999999999999</c:v>
                </c:pt>
                <c:pt idx="47">
                  <c:v>83.19</c:v>
                </c:pt>
                <c:pt idx="48">
                  <c:v>83.094999999999999</c:v>
                </c:pt>
                <c:pt idx="49">
                  <c:v>82.9</c:v>
                </c:pt>
                <c:pt idx="50">
                  <c:v>83.35</c:v>
                </c:pt>
                <c:pt idx="51">
                  <c:v>83.45</c:v>
                </c:pt>
                <c:pt idx="52">
                  <c:v>83.424000000000007</c:v>
                </c:pt>
                <c:pt idx="53">
                  <c:v>83.355000000000004</c:v>
                </c:pt>
                <c:pt idx="54">
                  <c:v>83.698999999999998</c:v>
                </c:pt>
                <c:pt idx="55">
                  <c:v>83.867000000000004</c:v>
                </c:pt>
                <c:pt idx="56">
                  <c:v>83.754999999999995</c:v>
                </c:pt>
                <c:pt idx="57">
                  <c:v>84.061000000000007</c:v>
                </c:pt>
                <c:pt idx="58">
                  <c:v>84.558999999999997</c:v>
                </c:pt>
                <c:pt idx="59">
                  <c:v>85.554000000000002</c:v>
                </c:pt>
                <c:pt idx="60">
                  <c:v>86.561000000000007</c:v>
                </c:pt>
                <c:pt idx="61">
                  <c:v>87.471000000000004</c:v>
                </c:pt>
                <c:pt idx="62">
                  <c:v>85.46</c:v>
                </c:pt>
                <c:pt idx="63">
                  <c:v>84.599000000000004</c:v>
                </c:pt>
                <c:pt idx="64">
                  <c:v>85.525000000000006</c:v>
                </c:pt>
                <c:pt idx="65">
                  <c:v>85.7</c:v>
                </c:pt>
                <c:pt idx="66">
                  <c:v>87.524000000000001</c:v>
                </c:pt>
                <c:pt idx="67">
                  <c:v>88.174000000000007</c:v>
                </c:pt>
                <c:pt idx="68">
                  <c:v>88.840999999999994</c:v>
                </c:pt>
                <c:pt idx="69">
                  <c:v>88.769000000000005</c:v>
                </c:pt>
                <c:pt idx="70">
                  <c:v>89.356999999999999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13-411E-8A4F-8CF7A7117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4380959"/>
        <c:axId val="814381439"/>
      </c:lineChart>
      <c:dateAx>
        <c:axId val="814380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>
            <c:manualLayout>
              <c:xMode val="edge"/>
              <c:yMode val="edge"/>
              <c:x val="0.45991535433070868"/>
              <c:y val="0.90182852143482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81439"/>
        <c:crosses val="autoZero"/>
        <c:auto val="1"/>
        <c:lblOffset val="100"/>
        <c:baseTimeUnit val="months"/>
      </c:dateAx>
      <c:valAx>
        <c:axId val="81438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USD/INR Exchange Rate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7784552845528455E-2"/>
              <c:y val="0.2230555555555555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438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10</xdr:row>
      <xdr:rowOff>91440</xdr:rowOff>
    </xdr:from>
    <xdr:to>
      <xdr:col>11</xdr:col>
      <xdr:colOff>426720</xdr:colOff>
      <xdr:row>25</xdr:row>
      <xdr:rowOff>91440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DF8CFD-8CEC-FFB8-794D-7A5C20768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4E58-80B5-4AB2-8D58-BB4878105C0F}">
  <dimension ref="A1:H72"/>
  <sheetViews>
    <sheetView tabSelected="1" workbookViewId="0">
      <selection activeCell="P84" sqref="P84"/>
    </sheetView>
  </sheetViews>
  <sheetFormatPr defaultRowHeight="14.4" x14ac:dyDescent="0.3"/>
  <cols>
    <col min="1" max="1" width="10.33203125" bestFit="1" customWidth="1"/>
    <col min="2" max="2" width="9.44140625" customWidth="1"/>
    <col min="3" max="4" width="8.88671875" style="3"/>
    <col min="6" max="6" width="22.88671875" customWidth="1"/>
  </cols>
  <sheetData>
    <row r="1" spans="1:8" x14ac:dyDescent="0.3">
      <c r="A1" s="4" t="s">
        <v>0</v>
      </c>
      <c r="B1" s="4" t="s">
        <v>10</v>
      </c>
      <c r="C1" s="2" t="s">
        <v>1</v>
      </c>
      <c r="D1" s="2" t="s">
        <v>2</v>
      </c>
      <c r="E1" s="4"/>
      <c r="F1" s="4" t="s">
        <v>9</v>
      </c>
      <c r="G1" s="4"/>
      <c r="H1" s="4"/>
    </row>
    <row r="2" spans="1:8" x14ac:dyDescent="0.3">
      <c r="A2" s="1">
        <v>43831</v>
      </c>
      <c r="B2">
        <v>71.540000000000006</v>
      </c>
      <c r="C2" s="3">
        <f>B2-$G$2</f>
        <v>-8.3994084507042004</v>
      </c>
      <c r="D2" s="3">
        <f>C2*C2</f>
        <v>70.550062321761132</v>
      </c>
      <c r="F2" t="s">
        <v>3</v>
      </c>
      <c r="G2" s="3">
        <f>AVERAGE(B2:B72)</f>
        <v>79.939408450704207</v>
      </c>
    </row>
    <row r="3" spans="1:8" x14ac:dyDescent="0.3">
      <c r="A3" s="1">
        <v>43862</v>
      </c>
      <c r="B3">
        <v>72.534000000000006</v>
      </c>
      <c r="C3" s="3">
        <f t="shared" ref="C3:C66" si="0">B3-$G$2</f>
        <v>-7.4054084507042006</v>
      </c>
      <c r="D3" s="3">
        <f t="shared" ref="D3:D66" si="1">C3*C3</f>
        <v>54.840074321761186</v>
      </c>
      <c r="F3" t="s">
        <v>4</v>
      </c>
      <c r="G3" s="3">
        <f>MEDIAN(B2:B72)</f>
        <v>81.739000000000004</v>
      </c>
    </row>
    <row r="4" spans="1:8" x14ac:dyDescent="0.3">
      <c r="A4" s="1">
        <v>43891</v>
      </c>
      <c r="B4">
        <v>75.332999999999998</v>
      </c>
      <c r="C4" s="3">
        <f t="shared" si="0"/>
        <v>-4.6064084507042082</v>
      </c>
      <c r="D4" s="3">
        <f t="shared" si="1"/>
        <v>21.218998814719143</v>
      </c>
      <c r="F4" t="s">
        <v>5</v>
      </c>
      <c r="G4" s="3">
        <f>MIN(B3:B73)</f>
        <v>72.510999999999996</v>
      </c>
    </row>
    <row r="5" spans="1:8" x14ac:dyDescent="0.3">
      <c r="A5" s="1">
        <v>43922</v>
      </c>
      <c r="B5">
        <v>75.076999999999998</v>
      </c>
      <c r="C5" s="3">
        <f t="shared" si="0"/>
        <v>-4.8624084507042085</v>
      </c>
      <c r="D5" s="3">
        <f t="shared" si="1"/>
        <v>23.6430159414797</v>
      </c>
      <c r="F5" t="s">
        <v>6</v>
      </c>
      <c r="G5" s="3">
        <f>MAX(B4:B74)</f>
        <v>89.356999999999999</v>
      </c>
    </row>
    <row r="6" spans="1:8" x14ac:dyDescent="0.3">
      <c r="A6" s="1">
        <v>43952</v>
      </c>
      <c r="B6">
        <v>75.59</v>
      </c>
      <c r="C6" s="3">
        <f t="shared" si="0"/>
        <v>-4.3494084507042032</v>
      </c>
      <c r="D6" s="3">
        <f t="shared" si="1"/>
        <v>18.917353871057138</v>
      </c>
      <c r="F6" t="s">
        <v>7</v>
      </c>
      <c r="G6" s="3">
        <f>G5-G4</f>
        <v>16.846000000000004</v>
      </c>
    </row>
    <row r="7" spans="1:8" x14ac:dyDescent="0.3">
      <c r="A7" s="1">
        <v>43983</v>
      </c>
      <c r="B7">
        <v>75.540000000000006</v>
      </c>
      <c r="C7" s="3">
        <f t="shared" si="0"/>
        <v>-4.3994084507042004</v>
      </c>
      <c r="D7" s="3">
        <f t="shared" si="1"/>
        <v>19.354794716127532</v>
      </c>
      <c r="F7" t="s">
        <v>11</v>
      </c>
      <c r="G7" s="3">
        <f>VAR(B6:B76)</f>
        <v>25.10424741926731</v>
      </c>
    </row>
    <row r="8" spans="1:8" x14ac:dyDescent="0.3">
      <c r="A8" s="1">
        <v>44013</v>
      </c>
      <c r="B8">
        <v>74.915999999999997</v>
      </c>
      <c r="C8" s="3">
        <f t="shared" si="0"/>
        <v>-5.0234084507042098</v>
      </c>
      <c r="D8" s="3">
        <f t="shared" si="1"/>
        <v>25.23463246260647</v>
      </c>
      <c r="F8" t="s">
        <v>12</v>
      </c>
      <c r="G8" s="3">
        <f>_xlfn.STDEV.S(B2:B72)</f>
        <v>5.1223127605115053</v>
      </c>
    </row>
    <row r="9" spans="1:8" x14ac:dyDescent="0.3">
      <c r="A9" s="1">
        <v>44044</v>
      </c>
      <c r="B9">
        <v>73.254000000000005</v>
      </c>
      <c r="C9" s="3">
        <f t="shared" si="0"/>
        <v>-6.6854084507042018</v>
      </c>
      <c r="D9" s="3">
        <f t="shared" si="1"/>
        <v>44.694686152747153</v>
      </c>
    </row>
    <row r="10" spans="1:8" x14ac:dyDescent="0.3">
      <c r="A10" s="1">
        <v>44075</v>
      </c>
      <c r="B10">
        <v>73.56</v>
      </c>
      <c r="C10" s="3">
        <f t="shared" si="0"/>
        <v>-6.3794084507042044</v>
      </c>
      <c r="D10" s="3">
        <f t="shared" si="1"/>
        <v>40.696852180916217</v>
      </c>
      <c r="F10" s="4" t="s">
        <v>8</v>
      </c>
    </row>
    <row r="11" spans="1:8" x14ac:dyDescent="0.3">
      <c r="A11" s="1">
        <v>44105</v>
      </c>
      <c r="B11">
        <v>74.554000000000002</v>
      </c>
      <c r="C11" s="3">
        <f t="shared" si="0"/>
        <v>-5.3854084507042046</v>
      </c>
      <c r="D11" s="3">
        <f t="shared" si="1"/>
        <v>29.002624180916261</v>
      </c>
    </row>
    <row r="12" spans="1:8" x14ac:dyDescent="0.3">
      <c r="A12" s="1">
        <v>44136</v>
      </c>
      <c r="B12">
        <v>73.989999999999995</v>
      </c>
      <c r="C12" s="3">
        <f t="shared" si="0"/>
        <v>-5.9494084507042118</v>
      </c>
      <c r="D12" s="3">
        <f t="shared" si="1"/>
        <v>35.395460913310693</v>
      </c>
    </row>
    <row r="13" spans="1:8" x14ac:dyDescent="0.3">
      <c r="A13" s="1">
        <v>44166</v>
      </c>
      <c r="B13">
        <v>73.036000000000001</v>
      </c>
      <c r="C13" s="3">
        <f t="shared" si="0"/>
        <v>-6.9034084507042053</v>
      </c>
      <c r="D13" s="3">
        <f t="shared" si="1"/>
        <v>47.657048237254237</v>
      </c>
    </row>
    <row r="14" spans="1:8" x14ac:dyDescent="0.3">
      <c r="A14" s="1">
        <v>44197</v>
      </c>
      <c r="B14">
        <v>72.876999999999995</v>
      </c>
      <c r="C14" s="3">
        <f t="shared" si="0"/>
        <v>-7.0624084507042113</v>
      </c>
      <c r="D14" s="3">
        <f t="shared" si="1"/>
        <v>49.877613124578261</v>
      </c>
    </row>
    <row r="15" spans="1:8" x14ac:dyDescent="0.3">
      <c r="A15" s="1">
        <v>44228</v>
      </c>
      <c r="B15">
        <v>73.92</v>
      </c>
      <c r="C15" s="3">
        <f t="shared" si="0"/>
        <v>-6.0194084507042049</v>
      </c>
      <c r="D15" s="3">
        <f t="shared" si="1"/>
        <v>36.233278096409194</v>
      </c>
    </row>
    <row r="16" spans="1:8" x14ac:dyDescent="0.3">
      <c r="A16" s="1">
        <v>44256</v>
      </c>
      <c r="B16">
        <v>73.137</v>
      </c>
      <c r="C16" s="3">
        <f t="shared" si="0"/>
        <v>-6.8024084507042062</v>
      </c>
      <c r="D16" s="3">
        <f t="shared" si="1"/>
        <v>46.272760730211999</v>
      </c>
    </row>
    <row r="17" spans="1:4" x14ac:dyDescent="0.3">
      <c r="A17" s="1">
        <v>44287</v>
      </c>
      <c r="B17">
        <v>74.05</v>
      </c>
      <c r="C17" s="3">
        <f t="shared" si="0"/>
        <v>-5.8894084507042095</v>
      </c>
      <c r="D17" s="3">
        <f t="shared" si="1"/>
        <v>34.685131899226157</v>
      </c>
    </row>
    <row r="18" spans="1:4" x14ac:dyDescent="0.3">
      <c r="A18" s="1">
        <v>44317</v>
      </c>
      <c r="B18">
        <v>72.510999999999996</v>
      </c>
      <c r="C18" s="3">
        <f t="shared" si="0"/>
        <v>-7.428408450704211</v>
      </c>
      <c r="D18" s="3">
        <f t="shared" si="1"/>
        <v>55.181252110493737</v>
      </c>
    </row>
    <row r="19" spans="1:4" x14ac:dyDescent="0.3">
      <c r="A19" s="1">
        <v>44348</v>
      </c>
      <c r="B19">
        <v>74.36</v>
      </c>
      <c r="C19" s="3">
        <f t="shared" si="0"/>
        <v>-5.5794084507042072</v>
      </c>
      <c r="D19" s="3">
        <f t="shared" si="1"/>
        <v>31.129798659789522</v>
      </c>
    </row>
    <row r="20" spans="1:4" x14ac:dyDescent="0.3">
      <c r="A20" s="1">
        <v>44378</v>
      </c>
      <c r="B20">
        <v>74.337000000000003</v>
      </c>
      <c r="C20" s="3">
        <f t="shared" si="0"/>
        <v>-5.6024084507042033</v>
      </c>
      <c r="D20" s="3">
        <f t="shared" si="1"/>
        <v>31.386980448521872</v>
      </c>
    </row>
    <row r="21" spans="1:4" x14ac:dyDescent="0.3">
      <c r="A21" s="1">
        <v>44409</v>
      </c>
      <c r="B21">
        <v>72.947000000000003</v>
      </c>
      <c r="C21" s="3">
        <f t="shared" si="0"/>
        <v>-6.9924084507042039</v>
      </c>
      <c r="D21" s="3">
        <f t="shared" si="1"/>
        <v>48.893775941479568</v>
      </c>
    </row>
    <row r="22" spans="1:4" x14ac:dyDescent="0.3">
      <c r="A22" s="1">
        <v>44440</v>
      </c>
      <c r="B22">
        <v>74.164000000000001</v>
      </c>
      <c r="C22" s="3">
        <f t="shared" si="0"/>
        <v>-5.7754084507042052</v>
      </c>
      <c r="D22" s="3">
        <f t="shared" si="1"/>
        <v>33.355342772465548</v>
      </c>
    </row>
    <row r="23" spans="1:4" x14ac:dyDescent="0.3">
      <c r="A23" s="1">
        <v>44470</v>
      </c>
      <c r="B23">
        <v>74.915000000000006</v>
      </c>
      <c r="C23" s="3">
        <f t="shared" si="0"/>
        <v>-5.0244084507042004</v>
      </c>
      <c r="D23" s="3">
        <f t="shared" si="1"/>
        <v>25.244680279507783</v>
      </c>
    </row>
    <row r="24" spans="1:4" x14ac:dyDescent="0.3">
      <c r="A24" s="1">
        <v>44501</v>
      </c>
      <c r="B24">
        <v>75.09</v>
      </c>
      <c r="C24" s="3">
        <f t="shared" si="0"/>
        <v>-4.8494084507042032</v>
      </c>
      <c r="D24" s="3">
        <f t="shared" si="1"/>
        <v>23.516762321761341</v>
      </c>
    </row>
    <row r="25" spans="1:4" x14ac:dyDescent="0.3">
      <c r="A25" s="1">
        <v>44531</v>
      </c>
      <c r="B25">
        <v>74.466999999999999</v>
      </c>
      <c r="C25" s="3">
        <f t="shared" si="0"/>
        <v>-5.4724084507042079</v>
      </c>
      <c r="D25" s="3">
        <f t="shared" si="1"/>
        <v>29.94725425133883</v>
      </c>
    </row>
    <row r="26" spans="1:4" x14ac:dyDescent="0.3">
      <c r="A26" s="1">
        <v>44562</v>
      </c>
      <c r="B26">
        <v>74.528999999999996</v>
      </c>
      <c r="C26" s="3">
        <f t="shared" si="0"/>
        <v>-5.4104084507042103</v>
      </c>
      <c r="D26" s="3">
        <f t="shared" si="1"/>
        <v>29.272519603451531</v>
      </c>
    </row>
    <row r="27" spans="1:4" x14ac:dyDescent="0.3">
      <c r="A27" s="1">
        <v>44593</v>
      </c>
      <c r="B27">
        <v>75.492999999999995</v>
      </c>
      <c r="C27" s="3">
        <f t="shared" si="0"/>
        <v>-4.4464084507042116</v>
      </c>
      <c r="D27" s="3">
        <f t="shared" si="1"/>
        <v>19.770548110493827</v>
      </c>
    </row>
    <row r="28" spans="1:4" x14ac:dyDescent="0.3">
      <c r="A28" s="1">
        <v>44621</v>
      </c>
      <c r="B28">
        <v>75.900999999999996</v>
      </c>
      <c r="C28" s="3">
        <f t="shared" si="0"/>
        <v>-4.0384084507042104</v>
      </c>
      <c r="D28" s="3">
        <f t="shared" si="1"/>
        <v>16.308742814719182</v>
      </c>
    </row>
    <row r="29" spans="1:4" x14ac:dyDescent="0.3">
      <c r="A29" s="1">
        <v>44652</v>
      </c>
      <c r="B29">
        <v>76.52</v>
      </c>
      <c r="C29" s="3">
        <f t="shared" si="0"/>
        <v>-3.4194084507042106</v>
      </c>
      <c r="D29" s="3">
        <f t="shared" si="1"/>
        <v>11.69235415274737</v>
      </c>
    </row>
    <row r="30" spans="1:4" x14ac:dyDescent="0.3">
      <c r="A30" s="1">
        <v>44682</v>
      </c>
      <c r="B30">
        <v>77.569000000000003</v>
      </c>
      <c r="C30" s="3">
        <f t="shared" si="0"/>
        <v>-2.370408450704204</v>
      </c>
      <c r="D30" s="3">
        <f t="shared" si="1"/>
        <v>5.6188362231699047</v>
      </c>
    </row>
    <row r="31" spans="1:4" x14ac:dyDescent="0.3">
      <c r="A31" s="1">
        <v>44713</v>
      </c>
      <c r="B31">
        <v>78.95</v>
      </c>
      <c r="C31" s="3">
        <f t="shared" si="0"/>
        <v>-0.9894084507042038</v>
      </c>
      <c r="D31" s="3">
        <f t="shared" si="1"/>
        <v>0.97892908232489284</v>
      </c>
    </row>
    <row r="32" spans="1:4" x14ac:dyDescent="0.3">
      <c r="A32" s="1">
        <v>44743</v>
      </c>
      <c r="B32">
        <v>79.335999999999999</v>
      </c>
      <c r="C32" s="3">
        <f t="shared" si="0"/>
        <v>-0.60340845070420812</v>
      </c>
      <c r="D32" s="3">
        <f t="shared" si="1"/>
        <v>0.36410175838125275</v>
      </c>
    </row>
    <row r="33" spans="1:4" x14ac:dyDescent="0.3">
      <c r="A33" s="1">
        <v>44774</v>
      </c>
      <c r="B33">
        <v>79.491</v>
      </c>
      <c r="C33" s="3">
        <f t="shared" si="0"/>
        <v>-0.44840845070420698</v>
      </c>
      <c r="D33" s="3">
        <f t="shared" si="1"/>
        <v>0.20107013866294723</v>
      </c>
    </row>
    <row r="34" spans="1:4" x14ac:dyDescent="0.3">
      <c r="A34" s="1">
        <v>44805</v>
      </c>
      <c r="B34">
        <v>81.509</v>
      </c>
      <c r="C34" s="3">
        <f t="shared" si="0"/>
        <v>1.5695915492957937</v>
      </c>
      <c r="D34" s="3">
        <f t="shared" si="1"/>
        <v>2.4636176316207701</v>
      </c>
    </row>
    <row r="35" spans="1:4" x14ac:dyDescent="0.3">
      <c r="A35" s="1">
        <v>44835</v>
      </c>
      <c r="B35">
        <v>82.77</v>
      </c>
      <c r="C35" s="3">
        <f t="shared" si="0"/>
        <v>2.8305915492957894</v>
      </c>
      <c r="D35" s="3">
        <f t="shared" si="1"/>
        <v>8.0122485189447374</v>
      </c>
    </row>
    <row r="36" spans="1:4" x14ac:dyDescent="0.3">
      <c r="A36" s="1">
        <v>44866</v>
      </c>
      <c r="B36">
        <v>81.358999999999995</v>
      </c>
      <c r="C36" s="3">
        <f t="shared" si="0"/>
        <v>1.419591549295788</v>
      </c>
      <c r="D36" s="3">
        <f t="shared" si="1"/>
        <v>2.0152401668320157</v>
      </c>
    </row>
    <row r="37" spans="1:4" x14ac:dyDescent="0.3">
      <c r="A37" s="1">
        <v>44896</v>
      </c>
      <c r="B37">
        <v>82.716999999999999</v>
      </c>
      <c r="C37" s="3">
        <f t="shared" si="0"/>
        <v>2.7775915492957921</v>
      </c>
      <c r="D37" s="3">
        <f t="shared" si="1"/>
        <v>7.7150148147193987</v>
      </c>
    </row>
    <row r="38" spans="1:4" x14ac:dyDescent="0.3">
      <c r="A38" s="1">
        <v>44927</v>
      </c>
      <c r="B38">
        <v>81.739000000000004</v>
      </c>
      <c r="C38" s="3">
        <f t="shared" si="0"/>
        <v>1.7995915492957977</v>
      </c>
      <c r="D38" s="3">
        <f t="shared" si="1"/>
        <v>3.2385297442968493</v>
      </c>
    </row>
    <row r="39" spans="1:4" x14ac:dyDescent="0.3">
      <c r="A39" s="1">
        <v>44958</v>
      </c>
      <c r="B39">
        <v>82.64</v>
      </c>
      <c r="C39" s="3">
        <f t="shared" si="0"/>
        <v>2.7005915492957939</v>
      </c>
      <c r="D39" s="3">
        <f t="shared" si="1"/>
        <v>7.2931947161278563</v>
      </c>
    </row>
    <row r="40" spans="1:4" x14ac:dyDescent="0.3">
      <c r="A40" s="1">
        <v>44986</v>
      </c>
      <c r="B40">
        <v>82.16</v>
      </c>
      <c r="C40" s="3">
        <f t="shared" si="0"/>
        <v>2.2205915492957899</v>
      </c>
      <c r="D40" s="3">
        <f t="shared" si="1"/>
        <v>4.9310268288038763</v>
      </c>
    </row>
    <row r="41" spans="1:4" x14ac:dyDescent="0.3">
      <c r="A41" s="1">
        <v>45017</v>
      </c>
      <c r="B41">
        <v>81.72</v>
      </c>
      <c r="C41" s="3">
        <f t="shared" si="0"/>
        <v>1.7805915492957922</v>
      </c>
      <c r="D41" s="3">
        <f t="shared" si="1"/>
        <v>3.1705062654235898</v>
      </c>
    </row>
    <row r="42" spans="1:4" x14ac:dyDescent="0.3">
      <c r="A42" s="1">
        <v>45047</v>
      </c>
      <c r="B42">
        <v>82.68</v>
      </c>
      <c r="C42" s="3">
        <f t="shared" si="0"/>
        <v>2.7405915492958002</v>
      </c>
      <c r="D42" s="3">
        <f t="shared" si="1"/>
        <v>7.5108420400715543</v>
      </c>
    </row>
    <row r="43" spans="1:4" x14ac:dyDescent="0.3">
      <c r="A43" s="1">
        <v>45078</v>
      </c>
      <c r="B43">
        <v>82.090999999999994</v>
      </c>
      <c r="C43" s="3">
        <f t="shared" si="0"/>
        <v>2.1515915492957873</v>
      </c>
      <c r="D43" s="3">
        <f t="shared" si="1"/>
        <v>4.6293461950010464</v>
      </c>
    </row>
    <row r="44" spans="1:4" x14ac:dyDescent="0.3">
      <c r="A44" s="1">
        <v>45108</v>
      </c>
      <c r="B44">
        <v>82.24</v>
      </c>
      <c r="C44" s="3">
        <f t="shared" si="0"/>
        <v>2.3005915492957882</v>
      </c>
      <c r="D44" s="3">
        <f t="shared" si="1"/>
        <v>5.2927214766911952</v>
      </c>
    </row>
    <row r="45" spans="1:4" x14ac:dyDescent="0.3">
      <c r="A45" s="1">
        <v>45139</v>
      </c>
      <c r="B45">
        <v>82.701999999999998</v>
      </c>
      <c r="C45" s="3">
        <f t="shared" si="0"/>
        <v>2.7625915492957915</v>
      </c>
      <c r="D45" s="3">
        <f t="shared" si="1"/>
        <v>7.6319120682405215</v>
      </c>
    </row>
    <row r="46" spans="1:4" x14ac:dyDescent="0.3">
      <c r="A46" s="1">
        <v>45170</v>
      </c>
      <c r="B46">
        <v>83.03</v>
      </c>
      <c r="C46" s="3">
        <f t="shared" si="0"/>
        <v>3.0905915492957945</v>
      </c>
      <c r="D46" s="3">
        <f t="shared" si="1"/>
        <v>9.5517561245785796</v>
      </c>
    </row>
    <row r="47" spans="1:4" x14ac:dyDescent="0.3">
      <c r="A47" s="1">
        <v>45200</v>
      </c>
      <c r="B47">
        <v>83.256</v>
      </c>
      <c r="C47" s="3">
        <f t="shared" si="0"/>
        <v>3.3165915492957936</v>
      </c>
      <c r="D47" s="3">
        <f t="shared" si="1"/>
        <v>10.999779504860273</v>
      </c>
    </row>
    <row r="48" spans="1:4" x14ac:dyDescent="0.3">
      <c r="A48" s="1">
        <v>45231</v>
      </c>
      <c r="B48">
        <v>83.356999999999999</v>
      </c>
      <c r="C48" s="3">
        <f t="shared" si="0"/>
        <v>3.4175915492957927</v>
      </c>
      <c r="D48" s="3">
        <f t="shared" si="1"/>
        <v>11.679931997818016</v>
      </c>
    </row>
    <row r="49" spans="1:4" x14ac:dyDescent="0.3">
      <c r="A49" s="1">
        <v>45261</v>
      </c>
      <c r="B49">
        <v>83.19</v>
      </c>
      <c r="C49" s="3">
        <f t="shared" si="0"/>
        <v>3.2505915492957911</v>
      </c>
      <c r="D49" s="3">
        <f t="shared" si="1"/>
        <v>10.566345420353212</v>
      </c>
    </row>
    <row r="50" spans="1:4" x14ac:dyDescent="0.3">
      <c r="A50" s="1">
        <v>45292</v>
      </c>
      <c r="B50">
        <v>83.094999999999999</v>
      </c>
      <c r="C50" s="3">
        <f t="shared" si="0"/>
        <v>3.1555915492957922</v>
      </c>
      <c r="D50" s="3">
        <f t="shared" si="1"/>
        <v>9.9577580259870189</v>
      </c>
    </row>
    <row r="51" spans="1:4" x14ac:dyDescent="0.3">
      <c r="A51" s="1">
        <v>45323</v>
      </c>
      <c r="B51">
        <v>82.9</v>
      </c>
      <c r="C51" s="3">
        <f t="shared" si="0"/>
        <v>2.960591549295799</v>
      </c>
      <c r="D51" s="3">
        <f t="shared" si="1"/>
        <v>8.7651023217617006</v>
      </c>
    </row>
    <row r="52" spans="1:4" x14ac:dyDescent="0.3">
      <c r="A52" s="1">
        <v>45352</v>
      </c>
      <c r="B52">
        <v>83.35</v>
      </c>
      <c r="C52" s="3">
        <f t="shared" si="0"/>
        <v>3.4105915492957877</v>
      </c>
      <c r="D52" s="3">
        <f t="shared" si="1"/>
        <v>11.632134716127842</v>
      </c>
    </row>
    <row r="53" spans="1:4" x14ac:dyDescent="0.3">
      <c r="A53" s="1">
        <v>45383</v>
      </c>
      <c r="B53">
        <v>83.45</v>
      </c>
      <c r="C53" s="3">
        <f t="shared" si="0"/>
        <v>3.5105915492957962</v>
      </c>
      <c r="D53" s="3">
        <f t="shared" si="1"/>
        <v>12.324253025987058</v>
      </c>
    </row>
    <row r="54" spans="1:4" x14ac:dyDescent="0.3">
      <c r="A54" s="1">
        <v>45413</v>
      </c>
      <c r="B54">
        <v>83.424000000000007</v>
      </c>
      <c r="C54" s="3">
        <f t="shared" si="0"/>
        <v>3.4845915492958</v>
      </c>
      <c r="D54" s="3">
        <f t="shared" si="1"/>
        <v>12.142378265423703</v>
      </c>
    </row>
    <row r="55" spans="1:4" x14ac:dyDescent="0.3">
      <c r="A55" s="1">
        <v>45444</v>
      </c>
      <c r="B55">
        <v>83.355000000000004</v>
      </c>
      <c r="C55" s="3">
        <f t="shared" si="0"/>
        <v>3.4155915492957973</v>
      </c>
      <c r="D55" s="3">
        <f t="shared" si="1"/>
        <v>11.666265631620865</v>
      </c>
    </row>
    <row r="56" spans="1:4" x14ac:dyDescent="0.3">
      <c r="A56" s="1">
        <v>45474</v>
      </c>
      <c r="B56">
        <v>83.698999999999998</v>
      </c>
      <c r="C56" s="3">
        <f t="shared" si="0"/>
        <v>3.7595915492957914</v>
      </c>
      <c r="D56" s="3">
        <f t="shared" si="1"/>
        <v>14.134528617536329</v>
      </c>
    </row>
    <row r="57" spans="1:4" x14ac:dyDescent="0.3">
      <c r="A57" s="1">
        <v>45505</v>
      </c>
      <c r="B57">
        <v>83.867000000000004</v>
      </c>
      <c r="C57" s="3">
        <f t="shared" si="0"/>
        <v>3.9275915492957978</v>
      </c>
      <c r="D57" s="3">
        <f t="shared" si="1"/>
        <v>15.425975378099766</v>
      </c>
    </row>
    <row r="58" spans="1:4" x14ac:dyDescent="0.3">
      <c r="A58" s="1">
        <v>45536</v>
      </c>
      <c r="B58">
        <v>83.754999999999995</v>
      </c>
      <c r="C58" s="3">
        <f t="shared" si="0"/>
        <v>3.8155915492957888</v>
      </c>
      <c r="D58" s="3">
        <f t="shared" si="1"/>
        <v>14.558738871057438</v>
      </c>
    </row>
    <row r="59" spans="1:4" x14ac:dyDescent="0.3">
      <c r="A59" s="1">
        <v>45566</v>
      </c>
      <c r="B59">
        <v>84.061000000000007</v>
      </c>
      <c r="C59" s="3">
        <f t="shared" si="0"/>
        <v>4.1215915492958004</v>
      </c>
      <c r="D59" s="3">
        <f t="shared" si="1"/>
        <v>16.987516899226556</v>
      </c>
    </row>
    <row r="60" spans="1:4" x14ac:dyDescent="0.3">
      <c r="A60" s="1">
        <v>45597</v>
      </c>
      <c r="B60">
        <v>84.558999999999997</v>
      </c>
      <c r="C60" s="3">
        <f t="shared" si="0"/>
        <v>4.6195915492957909</v>
      </c>
      <c r="D60" s="3">
        <f t="shared" si="1"/>
        <v>21.340626082325084</v>
      </c>
    </row>
    <row r="61" spans="1:4" x14ac:dyDescent="0.3">
      <c r="A61" s="1">
        <v>45627</v>
      </c>
      <c r="B61">
        <v>85.554000000000002</v>
      </c>
      <c r="C61" s="3">
        <f t="shared" si="0"/>
        <v>5.6145915492957954</v>
      </c>
      <c r="D61" s="3">
        <f t="shared" si="1"/>
        <v>31.523638265423759</v>
      </c>
    </row>
    <row r="62" spans="1:4" x14ac:dyDescent="0.3">
      <c r="A62" s="1">
        <v>45658</v>
      </c>
      <c r="B62">
        <v>86.561000000000007</v>
      </c>
      <c r="C62" s="3">
        <f t="shared" si="0"/>
        <v>6.6215915492958004</v>
      </c>
      <c r="D62" s="3">
        <f t="shared" si="1"/>
        <v>43.845474645705558</v>
      </c>
    </row>
    <row r="63" spans="1:4" x14ac:dyDescent="0.3">
      <c r="A63" s="1">
        <v>45689</v>
      </c>
      <c r="B63">
        <v>87.471000000000004</v>
      </c>
      <c r="C63" s="3">
        <f t="shared" si="0"/>
        <v>7.531591549295797</v>
      </c>
      <c r="D63" s="3">
        <f t="shared" si="1"/>
        <v>56.724871265423864</v>
      </c>
    </row>
    <row r="64" spans="1:4" x14ac:dyDescent="0.3">
      <c r="A64" s="1">
        <v>45717</v>
      </c>
      <c r="B64">
        <v>85.46</v>
      </c>
      <c r="C64" s="3">
        <f t="shared" si="0"/>
        <v>5.5205915492957871</v>
      </c>
      <c r="D64" s="3">
        <f t="shared" si="1"/>
        <v>30.476931054156058</v>
      </c>
    </row>
    <row r="65" spans="1:4" x14ac:dyDescent="0.3">
      <c r="A65" s="1">
        <v>45748</v>
      </c>
      <c r="B65">
        <v>84.599000000000004</v>
      </c>
      <c r="C65" s="3">
        <f t="shared" si="0"/>
        <v>4.6595915492957971</v>
      </c>
      <c r="D65" s="3">
        <f t="shared" si="1"/>
        <v>21.711793406268807</v>
      </c>
    </row>
    <row r="66" spans="1:4" x14ac:dyDescent="0.3">
      <c r="A66" s="1">
        <v>45778</v>
      </c>
      <c r="B66">
        <v>85.525000000000006</v>
      </c>
      <c r="C66" s="3">
        <f t="shared" si="0"/>
        <v>5.585591549295799</v>
      </c>
      <c r="D66" s="3">
        <f t="shared" si="1"/>
        <v>31.198832955564644</v>
      </c>
    </row>
    <row r="67" spans="1:4" x14ac:dyDescent="0.3">
      <c r="A67" s="1">
        <v>45809</v>
      </c>
      <c r="B67">
        <v>85.7</v>
      </c>
      <c r="C67" s="3">
        <f t="shared" ref="C67:C72" si="2">B67-$G$2</f>
        <v>5.7605915492957962</v>
      </c>
      <c r="D67" s="3">
        <f t="shared" ref="D67:D72" si="3">C67*C67</f>
        <v>33.184414997818145</v>
      </c>
    </row>
    <row r="68" spans="1:4" x14ac:dyDescent="0.3">
      <c r="A68" s="1">
        <v>45839</v>
      </c>
      <c r="B68">
        <v>87.524000000000001</v>
      </c>
      <c r="C68" s="3">
        <f t="shared" si="2"/>
        <v>7.5845915492957943</v>
      </c>
      <c r="D68" s="3">
        <f t="shared" si="3"/>
        <v>57.526028969649175</v>
      </c>
    </row>
    <row r="69" spans="1:4" x14ac:dyDescent="0.3">
      <c r="A69" s="1">
        <v>45870</v>
      </c>
      <c r="B69">
        <v>88.174000000000007</v>
      </c>
      <c r="C69" s="3">
        <f t="shared" si="2"/>
        <v>8.2345915492958</v>
      </c>
      <c r="D69" s="3">
        <f t="shared" si="3"/>
        <v>67.808497983733801</v>
      </c>
    </row>
    <row r="70" spans="1:4" x14ac:dyDescent="0.3">
      <c r="A70" s="1">
        <v>45901</v>
      </c>
      <c r="B70">
        <v>88.840999999999994</v>
      </c>
      <c r="C70" s="3">
        <f t="shared" si="2"/>
        <v>8.9015915492957873</v>
      </c>
      <c r="D70" s="3">
        <f t="shared" si="3"/>
        <v>79.23833211049417</v>
      </c>
    </row>
    <row r="71" spans="1:4" x14ac:dyDescent="0.3">
      <c r="A71" s="1">
        <v>45931</v>
      </c>
      <c r="B71">
        <v>88.769000000000005</v>
      </c>
      <c r="C71" s="3">
        <f t="shared" si="2"/>
        <v>8.8295915492957988</v>
      </c>
      <c r="D71" s="3">
        <f t="shared" si="3"/>
        <v>77.961686927395789</v>
      </c>
    </row>
    <row r="72" spans="1:4" x14ac:dyDescent="0.3">
      <c r="A72" s="1">
        <v>45962</v>
      </c>
      <c r="B72">
        <v>89.356999999999999</v>
      </c>
      <c r="C72" s="3">
        <f t="shared" si="2"/>
        <v>9.4175915492957927</v>
      </c>
      <c r="D72" s="3">
        <f t="shared" si="3"/>
        <v>88.691030589367529</v>
      </c>
    </row>
  </sheetData>
  <sortState xmlns:xlrd2="http://schemas.microsoft.com/office/spreadsheetml/2017/richdata2" ref="A2:B72">
    <sortCondition ref="A2:A72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Mogneeshwar J K U</dc:creator>
  <cp:lastModifiedBy>Mogneeshwar J K U</cp:lastModifiedBy>
  <cp:lastPrinted>2025-12-17T06:26:57Z</cp:lastPrinted>
  <dcterms:created xsi:type="dcterms:W3CDTF">2025-12-17T05:36:09Z</dcterms:created>
  <dcterms:modified xsi:type="dcterms:W3CDTF">2025-12-18T12:39:28Z</dcterms:modified>
</cp:coreProperties>
</file>