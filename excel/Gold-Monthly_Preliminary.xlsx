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ne\VIT_Projects\Dec-SecondReview\"/>
    </mc:Choice>
  </mc:AlternateContent>
  <xr:revisionPtr revIDLastSave="0" documentId="13_ncr:1_{547723B3-736A-452E-BD68-F83F1FB7E139}" xr6:coauthVersionLast="47" xr6:coauthVersionMax="47" xr10:uidLastSave="{00000000-0000-0000-0000-000000000000}"/>
  <bookViews>
    <workbookView xWindow="-108" yWindow="-108" windowWidth="23256" windowHeight="12456" xr2:uid="{89BAADD3-7204-4FBD-9F75-44FE775DDEAA}"/>
  </bookViews>
  <sheets>
    <sheet name="Go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" l="1"/>
  <c r="E66" i="1"/>
  <c r="E63" i="1"/>
  <c r="E62" i="1"/>
  <c r="E59" i="1"/>
  <c r="E58" i="1"/>
  <c r="E55" i="1"/>
  <c r="E54" i="1"/>
  <c r="E51" i="1"/>
  <c r="E50" i="1"/>
  <c r="E47" i="1"/>
  <c r="E46" i="1"/>
  <c r="E43" i="1"/>
  <c r="E42" i="1"/>
  <c r="E39" i="1"/>
  <c r="E38" i="1"/>
  <c r="E35" i="1"/>
  <c r="E34" i="1"/>
  <c r="E31" i="1"/>
  <c r="E30" i="1"/>
  <c r="E27" i="1"/>
  <c r="E26" i="1"/>
  <c r="E23" i="1"/>
  <c r="E22" i="1"/>
  <c r="E19" i="1"/>
  <c r="E18" i="1"/>
  <c r="E15" i="1"/>
  <c r="E14" i="1"/>
  <c r="E11" i="1"/>
  <c r="E10" i="1"/>
  <c r="E7" i="1"/>
  <c r="E6" i="1"/>
  <c r="E3" i="1"/>
  <c r="E2" i="1"/>
  <c r="D72" i="1"/>
  <c r="E72" i="1" s="1"/>
  <c r="D71" i="1"/>
  <c r="E71" i="1" s="1"/>
  <c r="D70" i="1"/>
  <c r="E70" i="1" s="1"/>
  <c r="D69" i="1"/>
  <c r="E69" i="1" s="1"/>
  <c r="D68" i="1"/>
  <c r="E68" i="1" s="1"/>
  <c r="D67" i="1"/>
  <c r="D66" i="1"/>
  <c r="D65" i="1"/>
  <c r="E65" i="1" s="1"/>
  <c r="D64" i="1"/>
  <c r="E64" i="1" s="1"/>
  <c r="D63" i="1"/>
  <c r="D62" i="1"/>
  <c r="D61" i="1"/>
  <c r="E61" i="1" s="1"/>
  <c r="D60" i="1"/>
  <c r="E60" i="1" s="1"/>
  <c r="D59" i="1"/>
  <c r="D58" i="1"/>
  <c r="D57" i="1"/>
  <c r="E57" i="1" s="1"/>
  <c r="D56" i="1"/>
  <c r="E56" i="1" s="1"/>
  <c r="D55" i="1"/>
  <c r="D54" i="1"/>
  <c r="D53" i="1"/>
  <c r="E53" i="1" s="1"/>
  <c r="D52" i="1"/>
  <c r="E52" i="1" s="1"/>
  <c r="D51" i="1"/>
  <c r="D50" i="1"/>
  <c r="D49" i="1"/>
  <c r="E49" i="1" s="1"/>
  <c r="D48" i="1"/>
  <c r="E48" i="1" s="1"/>
  <c r="D47" i="1"/>
  <c r="D46" i="1"/>
  <c r="D45" i="1"/>
  <c r="E45" i="1" s="1"/>
  <c r="D44" i="1"/>
  <c r="E44" i="1" s="1"/>
  <c r="D43" i="1"/>
  <c r="D42" i="1"/>
  <c r="D41" i="1"/>
  <c r="E41" i="1" s="1"/>
  <c r="D40" i="1"/>
  <c r="E40" i="1" s="1"/>
  <c r="D39" i="1"/>
  <c r="D38" i="1"/>
  <c r="D37" i="1"/>
  <c r="E37" i="1" s="1"/>
  <c r="D36" i="1"/>
  <c r="E36" i="1" s="1"/>
  <c r="D35" i="1"/>
  <c r="D34" i="1"/>
  <c r="D33" i="1"/>
  <c r="E33" i="1" s="1"/>
  <c r="D32" i="1"/>
  <c r="E32" i="1" s="1"/>
  <c r="D31" i="1"/>
  <c r="D30" i="1"/>
  <c r="D29" i="1"/>
  <c r="E29" i="1" s="1"/>
  <c r="D28" i="1"/>
  <c r="E28" i="1" s="1"/>
  <c r="D27" i="1"/>
  <c r="D26" i="1"/>
  <c r="D25" i="1"/>
  <c r="E25" i="1" s="1"/>
  <c r="D24" i="1"/>
  <c r="E24" i="1" s="1"/>
  <c r="D23" i="1"/>
  <c r="D22" i="1"/>
  <c r="D21" i="1"/>
  <c r="E21" i="1" s="1"/>
  <c r="D20" i="1"/>
  <c r="E20" i="1" s="1"/>
  <c r="D19" i="1"/>
  <c r="D18" i="1"/>
  <c r="D17" i="1"/>
  <c r="E17" i="1" s="1"/>
  <c r="D16" i="1"/>
  <c r="E16" i="1" s="1"/>
  <c r="D15" i="1"/>
  <c r="D14" i="1"/>
  <c r="D13" i="1"/>
  <c r="E13" i="1" s="1"/>
  <c r="D12" i="1"/>
  <c r="E12" i="1" s="1"/>
  <c r="D11" i="1"/>
  <c r="D10" i="1"/>
  <c r="D9" i="1"/>
  <c r="E9" i="1" s="1"/>
  <c r="D8" i="1"/>
  <c r="E8" i="1" s="1"/>
  <c r="D7" i="1"/>
  <c r="D6" i="1"/>
  <c r="D5" i="1"/>
  <c r="E5" i="1" s="1"/>
  <c r="D4" i="1"/>
  <c r="E4" i="1" s="1"/>
  <c r="D3" i="1"/>
  <c r="D2" i="1"/>
  <c r="I3" i="1"/>
  <c r="I9" i="1"/>
  <c r="I8" i="1"/>
  <c r="H9" i="1"/>
  <c r="H8" i="1"/>
  <c r="H7" i="1"/>
  <c r="H6" i="1"/>
  <c r="H5" i="1"/>
  <c r="H4" i="1"/>
  <c r="H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<sst xmlns="http://schemas.openxmlformats.org/spreadsheetml/2006/main" count="16" uniqueCount="16">
  <si>
    <t>Months</t>
  </si>
  <si>
    <t>Gold Rate/Troy Ounce</t>
  </si>
  <si>
    <t>Sample</t>
  </si>
  <si>
    <t>Population</t>
  </si>
  <si>
    <t>Mean</t>
  </si>
  <si>
    <t>Median</t>
  </si>
  <si>
    <t>Min</t>
  </si>
  <si>
    <t>Max</t>
  </si>
  <si>
    <t>Range</t>
  </si>
  <si>
    <t>Variance</t>
  </si>
  <si>
    <t>Standard Deviation</t>
  </si>
  <si>
    <t>x − x̄</t>
  </si>
  <si>
    <t>(x − x̄)²</t>
  </si>
  <si>
    <t>Line Graph</t>
  </si>
  <si>
    <t>Descriptive Analysis - Monthly Gold Prices in India (2020–2025)</t>
  </si>
  <si>
    <t>Gold Price/10 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</si>
</sst>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68" fontId="2" fillId="0" borderId="0" xfId="1" applyNumberFormat="1"/>
    <xf numFmtId="14" fontId="0" fillId="0" borderId="0" xfId="0" applyNumberFormat="1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7BBAB5D1-9BB0-407C-B092-8115AB6D0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Gold Prices in India (2020–2025)</a:t>
            </a:r>
          </a:p>
          <a:p>
            <a:pPr>
              <a:defRPr/>
            </a:pPr>
            <a:r>
              <a:rPr lang="en-US"/>
              <a:t>VIT</a:t>
            </a:r>
            <a:r>
              <a:rPr lang="en-US" baseline="0"/>
              <a:t> Project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Gold!$B$1</c:f>
              <c:strCache>
                <c:ptCount val="1"/>
                <c:pt idx="0">
                  <c:v>Gold Rate/Troy Ounce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Gold!$A$2:$A$72</c:f>
              <c:numCache>
                <c:formatCode>m/d/yyyy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Gold!$B$2:$B$72</c:f>
            </c:numRef>
          </c:val>
          <c:smooth val="0"/>
          <c:extLst>
            <c:ext xmlns:c16="http://schemas.microsoft.com/office/drawing/2014/chart" uri="{C3380CC4-5D6E-409C-BE32-E72D297353CC}">
              <c16:uniqueId val="{00000000-DE99-4C1F-9078-D14C1BDEFE65}"/>
            </c:ext>
          </c:extLst>
        </c:ser>
        <c:ser>
          <c:idx val="1"/>
          <c:order val="1"/>
          <c:tx>
            <c:strRef>
              <c:f>Gold!$C$1</c:f>
              <c:strCache>
                <c:ptCount val="1"/>
                <c:pt idx="0">
                  <c:v>Gold Price/10 grams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Gold!$A$2:$A$72</c:f>
              <c:numCache>
                <c:formatCode>m/d/yyyy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Gold!$C$2:$C$72</c:f>
              <c:numCache>
                <c:formatCode>General</c:formatCode>
                <c:ptCount val="71"/>
                <c:pt idx="0">
                  <c:v>39991.540170417349</c:v>
                </c:pt>
                <c:pt idx="1">
                  <c:v>41196.719271477494</c:v>
                </c:pt>
                <c:pt idx="2">
                  <c:v>41726.918876003023</c:v>
                </c:pt>
                <c:pt idx="3">
                  <c:v>40988.969426437536</c:v>
                </c:pt>
                <c:pt idx="4">
                  <c:v>40988.969426437536</c:v>
                </c:pt>
                <c:pt idx="5">
                  <c:v>46781.285105964787</c:v>
                </c:pt>
                <c:pt idx="6">
                  <c:v>49912.792770181622</c:v>
                </c:pt>
                <c:pt idx="7">
                  <c:v>53038.150438985707</c:v>
                </c:pt>
                <c:pt idx="8">
                  <c:v>50901.28203287012</c:v>
                </c:pt>
                <c:pt idx="9">
                  <c:v>50715.532171420447</c:v>
                </c:pt>
                <c:pt idx="10">
                  <c:v>50407.232401380425</c:v>
                </c:pt>
                <c:pt idx="11">
                  <c:v>49467.413102389117</c:v>
                </c:pt>
                <c:pt idx="12">
                  <c:v>49639.122974311183</c:v>
                </c:pt>
                <c:pt idx="13">
                  <c:v>47141.514837270406</c:v>
                </c:pt>
                <c:pt idx="14">
                  <c:v>44649.446696097359</c:v>
                </c:pt>
                <c:pt idx="15">
                  <c:v>46724.255148503282</c:v>
                </c:pt>
                <c:pt idx="16">
                  <c:v>47889.444279391835</c:v>
                </c:pt>
                <c:pt idx="17">
                  <c:v>47902.914269344605</c:v>
                </c:pt>
                <c:pt idx="18">
                  <c:v>47791.964352101852</c:v>
                </c:pt>
                <c:pt idx="19">
                  <c:v>47097.604870022726</c:v>
                </c:pt>
                <c:pt idx="20">
                  <c:v>46589.055249348523</c:v>
                </c:pt>
                <c:pt idx="21">
                  <c:v>47251.584755169548</c:v>
                </c:pt>
                <c:pt idx="22">
                  <c:v>48162.914075411441</c:v>
                </c:pt>
                <c:pt idx="23">
                  <c:v>47900.134271418203</c:v>
                </c:pt>
                <c:pt idx="24">
                  <c:v>47983.41420929991</c:v>
                </c:pt>
                <c:pt idx="25">
                  <c:v>49279.413242617702</c:v>
                </c:pt>
                <c:pt idx="26">
                  <c:v>51672.351457731507</c:v>
                </c:pt>
                <c:pt idx="27">
                  <c:v>52057.861170180848</c:v>
                </c:pt>
                <c:pt idx="28">
                  <c:v>50887.232043349977</c:v>
                </c:pt>
                <c:pt idx="29">
                  <c:v>50808.822101835751</c:v>
                </c:pt>
                <c:pt idx="30">
                  <c:v>50752.962143501529</c:v>
                </c:pt>
                <c:pt idx="31">
                  <c:v>51635.051485553449</c:v>
                </c:pt>
                <c:pt idx="32">
                  <c:v>49957.012737198056</c:v>
                </c:pt>
                <c:pt idx="33">
                  <c:v>50372.482427300332</c:v>
                </c:pt>
                <c:pt idx="34">
                  <c:v>51843.821329832594</c:v>
                </c:pt>
                <c:pt idx="35">
                  <c:v>53928.689774734805</c:v>
                </c:pt>
                <c:pt idx="36">
                  <c:v>56221.668064408441</c:v>
                </c:pt>
                <c:pt idx="37">
                  <c:v>56655.057741144243</c:v>
                </c:pt>
                <c:pt idx="38">
                  <c:v>57577.527053076854</c:v>
                </c:pt>
                <c:pt idx="39">
                  <c:v>60128.425150368799</c:v>
                </c:pt>
                <c:pt idx="40">
                  <c:v>60551.864834526277</c:v>
                </c:pt>
                <c:pt idx="41">
                  <c:v>59023.005974898006</c:v>
                </c:pt>
                <c:pt idx="42">
                  <c:v>58937.056039007824</c:v>
                </c:pt>
                <c:pt idx="43">
                  <c:v>58722.136199315959</c:v>
                </c:pt>
                <c:pt idx="44">
                  <c:v>58785.386152137988</c:v>
                </c:pt>
                <c:pt idx="45">
                  <c:v>58852.666101954048</c:v>
                </c:pt>
                <c:pt idx="46">
                  <c:v>60769.274672360851</c:v>
                </c:pt>
                <c:pt idx="47">
                  <c:v>62218.70359123571</c:v>
                </c:pt>
                <c:pt idx="48">
                  <c:v>62336.273503540622</c:v>
                </c:pt>
                <c:pt idx="49">
                  <c:v>62030.713731456839</c:v>
                </c:pt>
                <c:pt idx="50">
                  <c:v>65305.701288652395</c:v>
                </c:pt>
                <c:pt idx="51">
                  <c:v>71481.626682046204</c:v>
                </c:pt>
                <c:pt idx="52">
                  <c:v>72180.336160880674</c:v>
                </c:pt>
                <c:pt idx="53">
                  <c:v>71545.746634219293</c:v>
                </c:pt>
                <c:pt idx="54">
                  <c:v>71379.59675815003</c:v>
                </c:pt>
                <c:pt idx="55">
                  <c:v>70380.707503218859</c:v>
                </c:pt>
                <c:pt idx="56">
                  <c:v>72882.655637022472</c:v>
                </c:pt>
                <c:pt idx="57">
                  <c:v>76706.532784802723</c:v>
                </c:pt>
                <c:pt idx="58">
                  <c:v>76268.423111587559</c:v>
                </c:pt>
                <c:pt idx="59">
                  <c:v>76219.373148173792</c:v>
                </c:pt>
                <c:pt idx="60">
                  <c:v>78634.771346534762</c:v>
                </c:pt>
                <c:pt idx="61">
                  <c:v>85081.936537611531</c:v>
                </c:pt>
                <c:pt idx="62">
                  <c:v>86940.885151026727</c:v>
                </c:pt>
                <c:pt idx="63">
                  <c:v>92838.260752190079</c:v>
                </c:pt>
                <c:pt idx="64">
                  <c:v>94645.979403817575</c:v>
                </c:pt>
                <c:pt idx="65">
                  <c:v>97154.497532720619</c:v>
                </c:pt>
                <c:pt idx="66">
                  <c:v>97560.407229953664</c:v>
                </c:pt>
                <c:pt idx="67">
                  <c:v>99704.675630549609</c:v>
                </c:pt>
                <c:pt idx="68">
                  <c:v>109576.05826751175</c:v>
                </c:pt>
                <c:pt idx="69">
                  <c:v>122815.22839245024</c:v>
                </c:pt>
                <c:pt idx="70">
                  <c:v>122847.55836833541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9-4C1F-9078-D14C1BDE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636160"/>
        <c:axId val="545623680"/>
      </c:lineChart>
      <c:dateAx>
        <c:axId val="54563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23680"/>
        <c:crosses val="autoZero"/>
        <c:auto val="1"/>
        <c:lblOffset val="100"/>
        <c:baseTimeUnit val="months"/>
      </c:dateAx>
      <c:valAx>
        <c:axId val="5456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Gold Price (INR per 10 grams)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11</xdr:row>
      <xdr:rowOff>38100</xdr:rowOff>
    </xdr:from>
    <xdr:to>
      <xdr:col>13</xdr:col>
      <xdr:colOff>266700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41065-6C1F-C7B1-8FE2-09683F8E5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0A18-AC6F-43E2-B30D-1E5835F0626E}">
  <dimension ref="A1:J72"/>
  <sheetViews>
    <sheetView tabSelected="1" workbookViewId="0">
      <selection activeCell="P7" sqref="P7"/>
    </sheetView>
  </sheetViews>
  <sheetFormatPr defaultRowHeight="14.4" x14ac:dyDescent="0.3"/>
  <cols>
    <col min="1" max="1" width="10.33203125" bestFit="1" customWidth="1"/>
    <col min="2" max="2" width="11.21875" hidden="1" customWidth="1"/>
    <col min="3" max="3" width="12.21875" customWidth="1"/>
    <col min="4" max="4" width="10.33203125" bestFit="1" customWidth="1"/>
    <col min="5" max="5" width="12" bestFit="1" customWidth="1"/>
    <col min="7" max="7" width="10.44140625" bestFit="1" customWidth="1"/>
    <col min="8" max="9" width="12" bestFit="1" customWidth="1"/>
  </cols>
  <sheetData>
    <row r="1" spans="1:10" x14ac:dyDescent="0.3">
      <c r="A1" s="3" t="s">
        <v>0</v>
      </c>
      <c r="B1" s="3" t="s">
        <v>1</v>
      </c>
      <c r="C1" s="3" t="s">
        <v>15</v>
      </c>
      <c r="D1" s="6" t="s">
        <v>11</v>
      </c>
      <c r="E1" s="6" t="s">
        <v>12</v>
      </c>
      <c r="G1" s="3" t="s">
        <v>14</v>
      </c>
      <c r="H1" s="3"/>
      <c r="I1" s="3"/>
      <c r="J1" s="3"/>
    </row>
    <row r="2" spans="1:10" x14ac:dyDescent="0.3">
      <c r="A2" s="2">
        <v>43831</v>
      </c>
      <c r="B2" s="1">
        <v>124387.6869690576</v>
      </c>
      <c r="C2">
        <f>B2*10/31.1035</f>
        <v>39991.540170417349</v>
      </c>
      <c r="D2" s="5">
        <f>C2-$H$3</f>
        <v>-21712.637184883795</v>
      </c>
      <c r="E2">
        <f>D2*D2</f>
        <v>471438613.52239853</v>
      </c>
      <c r="H2" s="4" t="s">
        <v>2</v>
      </c>
      <c r="I2" s="4" t="s">
        <v>3</v>
      </c>
    </row>
    <row r="3" spans="1:10" x14ac:dyDescent="0.3">
      <c r="A3" s="2">
        <v>43862</v>
      </c>
      <c r="B3" s="1">
        <v>128136.21578604</v>
      </c>
      <c r="C3">
        <f t="shared" ref="C3:C66" si="0">B3*10/31.1035</f>
        <v>41196.719271477494</v>
      </c>
      <c r="D3" s="5">
        <f>C3-$H$3</f>
        <v>-20507.458083823651</v>
      </c>
      <c r="E3">
        <f t="shared" ref="E3:E66" si="1">D3*D3</f>
        <v>420555837.059784</v>
      </c>
      <c r="G3" t="s">
        <v>4</v>
      </c>
      <c r="H3" s="5">
        <f>AVERAGE(C2:C72)</f>
        <v>61704.177355301144</v>
      </c>
      <c r="I3" s="5">
        <f>SUM(C2:C72)/71</f>
        <v>61704.177355301144</v>
      </c>
    </row>
    <row r="4" spans="1:10" x14ac:dyDescent="0.3">
      <c r="A4" s="2">
        <v>43891</v>
      </c>
      <c r="B4" s="1">
        <v>129785.32212597599</v>
      </c>
      <c r="C4">
        <f t="shared" si="0"/>
        <v>41726.918876003023</v>
      </c>
      <c r="D4" s="5">
        <f>C4-$H$3</f>
        <v>-19977.258479298122</v>
      </c>
      <c r="E4">
        <f t="shared" si="1"/>
        <v>399090856.34868872</v>
      </c>
      <c r="G4" t="s">
        <v>5</v>
      </c>
      <c r="H4" s="5">
        <f>MEDIAN(C2:C72)</f>
        <v>53928.689774734805</v>
      </c>
    </row>
    <row r="5" spans="1:10" x14ac:dyDescent="0.3">
      <c r="A5" s="2">
        <v>43922</v>
      </c>
      <c r="B5" s="1">
        <v>127490.04105551999</v>
      </c>
      <c r="C5">
        <f t="shared" si="0"/>
        <v>40988.969426437536</v>
      </c>
      <c r="D5" s="5">
        <f>C5-$H$3</f>
        <v>-20715.207928863609</v>
      </c>
      <c r="E5">
        <f t="shared" si="1"/>
        <v>429119839.53605372</v>
      </c>
      <c r="G5" t="s">
        <v>6</v>
      </c>
      <c r="H5" s="5">
        <f>MIN(C2:C72)</f>
        <v>39991.540170417349</v>
      </c>
    </row>
    <row r="6" spans="1:10" x14ac:dyDescent="0.3">
      <c r="A6" s="2">
        <v>43952</v>
      </c>
      <c r="B6" s="1">
        <v>127490.04105551999</v>
      </c>
      <c r="C6">
        <f t="shared" si="0"/>
        <v>40988.969426437536</v>
      </c>
      <c r="D6" s="5">
        <f>C6-$H$3</f>
        <v>-20715.207928863609</v>
      </c>
      <c r="E6">
        <f t="shared" si="1"/>
        <v>429119839.53605372</v>
      </c>
      <c r="G6" t="s">
        <v>7</v>
      </c>
      <c r="H6" s="5">
        <f>MAX(C3:C73)</f>
        <v>122847.55836833541</v>
      </c>
    </row>
    <row r="7" spans="1:10" x14ac:dyDescent="0.3">
      <c r="A7" s="2">
        <v>43983</v>
      </c>
      <c r="B7" s="1">
        <v>145506.17012933758</v>
      </c>
      <c r="C7">
        <f t="shared" si="0"/>
        <v>46781.285105964787</v>
      </c>
      <c r="D7" s="5">
        <f>C7-$H$3</f>
        <v>-14922.892249336357</v>
      </c>
      <c r="E7">
        <f t="shared" si="1"/>
        <v>222692713.08530313</v>
      </c>
      <c r="G7" t="s">
        <v>8</v>
      </c>
      <c r="H7" s="5">
        <f>H6-H5</f>
        <v>82856.018197918049</v>
      </c>
    </row>
    <row r="8" spans="1:10" x14ac:dyDescent="0.3">
      <c r="A8" s="2">
        <v>44013</v>
      </c>
      <c r="B8" s="1">
        <v>155246.25499273441</v>
      </c>
      <c r="C8">
        <f t="shared" si="0"/>
        <v>49912.792770181622</v>
      </c>
      <c r="D8" s="5">
        <f>C8-$H$3</f>
        <v>-11791.384585119522</v>
      </c>
      <c r="E8">
        <f t="shared" si="1"/>
        <v>139036750.43419427</v>
      </c>
      <c r="G8" t="s">
        <v>9</v>
      </c>
      <c r="H8">
        <f>VAR(C2:C72)</f>
        <v>366312850.75904453</v>
      </c>
      <c r="I8">
        <f>_xlfn.VAR.P(C2:C72)</f>
        <v>361153514.83286119</v>
      </c>
    </row>
    <row r="9" spans="1:10" x14ac:dyDescent="0.3">
      <c r="A9" s="2">
        <v>44044</v>
      </c>
      <c r="B9" s="1">
        <v>164967.2112178992</v>
      </c>
      <c r="C9">
        <f t="shared" si="0"/>
        <v>53038.150438985707</v>
      </c>
      <c r="D9" s="5">
        <f>C9-$H$3</f>
        <v>-8666.0269163154371</v>
      </c>
      <c r="E9">
        <f t="shared" si="1"/>
        <v>75100022.51430364</v>
      </c>
      <c r="G9" t="s">
        <v>10</v>
      </c>
      <c r="H9">
        <f>_xlfn.STDEV.S(C2:C72)</f>
        <v>19139.301208744393</v>
      </c>
      <c r="I9">
        <f>_xlfn.STDEV.P(C2:C72)</f>
        <v>19004.03943462708</v>
      </c>
    </row>
    <row r="10" spans="1:10" x14ac:dyDescent="0.3">
      <c r="A10" s="2">
        <v>44075</v>
      </c>
      <c r="B10" s="1">
        <v>158320.80257093758</v>
      </c>
      <c r="C10">
        <f t="shared" si="0"/>
        <v>50901.28203287012</v>
      </c>
      <c r="D10" s="5">
        <f>C10-$H$3</f>
        <v>-10802.895322431024</v>
      </c>
      <c r="E10">
        <f t="shared" si="1"/>
        <v>116702547.34740211</v>
      </c>
    </row>
    <row r="11" spans="1:10" x14ac:dyDescent="0.3">
      <c r="A11" s="2">
        <v>44105</v>
      </c>
      <c r="B11" s="1">
        <v>157743.05548937758</v>
      </c>
      <c r="C11">
        <f t="shared" si="0"/>
        <v>50715.532171420447</v>
      </c>
      <c r="D11" s="5">
        <f>C11-$H$3</f>
        <v>-10988.645183880697</v>
      </c>
      <c r="E11">
        <f t="shared" si="1"/>
        <v>120750322.97722444</v>
      </c>
      <c r="G11" t="s">
        <v>13</v>
      </c>
    </row>
    <row r="12" spans="1:10" x14ac:dyDescent="0.3">
      <c r="A12" s="2">
        <v>44136</v>
      </c>
      <c r="B12" s="1">
        <v>156784.13529963361</v>
      </c>
      <c r="C12">
        <f t="shared" si="0"/>
        <v>50407.232401380425</v>
      </c>
      <c r="D12" s="5">
        <f>C12-$H$3</f>
        <v>-11296.94495392072</v>
      </c>
      <c r="E12">
        <f t="shared" si="1"/>
        <v>127620965.29191482</v>
      </c>
    </row>
    <row r="13" spans="1:10" x14ac:dyDescent="0.3">
      <c r="A13" s="2">
        <v>44166</v>
      </c>
      <c r="B13" s="1">
        <v>153860.96834301599</v>
      </c>
      <c r="C13">
        <f t="shared" si="0"/>
        <v>49467.413102389117</v>
      </c>
      <c r="D13" s="5">
        <f>C13-$H$3</f>
        <v>-12236.764252912028</v>
      </c>
      <c r="E13">
        <f t="shared" si="1"/>
        <v>149738399.38134566</v>
      </c>
    </row>
    <row r="14" spans="1:10" x14ac:dyDescent="0.3">
      <c r="A14" s="2">
        <v>44197</v>
      </c>
      <c r="B14" s="1">
        <v>154395.04614314879</v>
      </c>
      <c r="C14">
        <f t="shared" si="0"/>
        <v>49639.122974311183</v>
      </c>
      <c r="D14" s="5">
        <f>C14-$H$3</f>
        <v>-12065.054380989961</v>
      </c>
      <c r="E14">
        <f t="shared" si="1"/>
        <v>145565537.21624506</v>
      </c>
    </row>
    <row r="15" spans="1:10" x14ac:dyDescent="0.3">
      <c r="A15" s="2">
        <v>44228</v>
      </c>
      <c r="B15" s="1">
        <v>146626.61067410401</v>
      </c>
      <c r="C15">
        <f t="shared" si="0"/>
        <v>47141.514837270406</v>
      </c>
      <c r="D15" s="5">
        <f>C15-$H$3</f>
        <v>-14562.662518030738</v>
      </c>
      <c r="E15">
        <f t="shared" si="1"/>
        <v>212071139.61405736</v>
      </c>
    </row>
    <row r="16" spans="1:10" x14ac:dyDescent="0.3">
      <c r="A16" s="2">
        <v>44256</v>
      </c>
      <c r="B16" s="1">
        <v>138875.40653120642</v>
      </c>
      <c r="C16">
        <f t="shared" si="0"/>
        <v>44649.446696097359</v>
      </c>
      <c r="D16" s="5">
        <f>C16-$H$3</f>
        <v>-17054.730659203786</v>
      </c>
      <c r="E16">
        <f t="shared" si="1"/>
        <v>290863837.85798562</v>
      </c>
    </row>
    <row r="17" spans="1:5" x14ac:dyDescent="0.3">
      <c r="A17" s="2">
        <v>44287</v>
      </c>
      <c r="B17" s="1">
        <v>145328.7870011472</v>
      </c>
      <c r="C17">
        <f t="shared" si="0"/>
        <v>46724.255148503282</v>
      </c>
      <c r="D17" s="5">
        <f>C17-$H$3</f>
        <v>-14979.922206797863</v>
      </c>
      <c r="E17">
        <f t="shared" si="1"/>
        <v>224398069.32171574</v>
      </c>
    </row>
    <row r="18" spans="1:5" x14ac:dyDescent="0.3">
      <c r="A18" s="2">
        <v>44317</v>
      </c>
      <c r="B18" s="1">
        <v>148952.93301440642</v>
      </c>
      <c r="C18">
        <f t="shared" si="0"/>
        <v>47889.444279391835</v>
      </c>
      <c r="D18" s="5">
        <f>C18-$H$3</f>
        <v>-13814.733075909309</v>
      </c>
      <c r="E18">
        <f t="shared" si="1"/>
        <v>190846849.95862269</v>
      </c>
    </row>
    <row r="19" spans="1:5" x14ac:dyDescent="0.3">
      <c r="A19" s="2">
        <v>44348</v>
      </c>
      <c r="B19" s="1">
        <v>148994.82939765599</v>
      </c>
      <c r="C19">
        <f t="shared" si="0"/>
        <v>47902.914269344605</v>
      </c>
      <c r="D19" s="5">
        <f>C19-$H$3</f>
        <v>-13801.26308595654</v>
      </c>
      <c r="E19">
        <f t="shared" si="1"/>
        <v>190474862.76778662</v>
      </c>
    </row>
    <row r="20" spans="1:5" x14ac:dyDescent="0.3">
      <c r="A20" s="2">
        <v>44378</v>
      </c>
      <c r="B20" s="1">
        <v>148649.73632256</v>
      </c>
      <c r="C20">
        <f t="shared" si="0"/>
        <v>47791.964352101852</v>
      </c>
      <c r="D20" s="5">
        <f>C20-$H$3</f>
        <v>-13912.213003199293</v>
      </c>
      <c r="E20">
        <f t="shared" si="1"/>
        <v>193549670.64638749</v>
      </c>
    </row>
    <row r="21" spans="1:5" x14ac:dyDescent="0.3">
      <c r="A21" s="2">
        <v>44409</v>
      </c>
      <c r="B21" s="1">
        <v>146490.03530747519</v>
      </c>
      <c r="C21">
        <f t="shared" si="0"/>
        <v>47097.604870022726</v>
      </c>
      <c r="D21" s="5">
        <f>C21-$H$3</f>
        <v>-14606.572485278419</v>
      </c>
      <c r="E21">
        <f t="shared" si="1"/>
        <v>213351959.76769257</v>
      </c>
    </row>
    <row r="22" spans="1:5" x14ac:dyDescent="0.3">
      <c r="A22" s="2">
        <v>44440</v>
      </c>
      <c r="B22" s="1">
        <v>144908.26799481118</v>
      </c>
      <c r="C22">
        <f t="shared" si="0"/>
        <v>46589.055249348523</v>
      </c>
      <c r="D22" s="5">
        <f>C22-$H$3</f>
        <v>-15115.122105952621</v>
      </c>
      <c r="E22">
        <f t="shared" si="1"/>
        <v>228466916.2778576</v>
      </c>
    </row>
    <row r="23" spans="1:5" x14ac:dyDescent="0.3">
      <c r="A23" s="2">
        <v>44470</v>
      </c>
      <c r="B23" s="1">
        <v>146968.96664324161</v>
      </c>
      <c r="C23">
        <f t="shared" si="0"/>
        <v>47251.584755169548</v>
      </c>
      <c r="D23" s="5">
        <f>C23-$H$3</f>
        <v>-14452.592600131597</v>
      </c>
      <c r="E23">
        <f t="shared" si="1"/>
        <v>208877432.86537859</v>
      </c>
    </row>
    <row r="24" spans="1:5" x14ac:dyDescent="0.3">
      <c r="A24" s="2">
        <v>44501</v>
      </c>
      <c r="B24" s="1">
        <v>149803.51979445599</v>
      </c>
      <c r="C24">
        <f t="shared" si="0"/>
        <v>48162.914075411441</v>
      </c>
      <c r="D24" s="5">
        <f>C24-$H$3</f>
        <v>-13541.263279889703</v>
      </c>
      <c r="E24">
        <f t="shared" si="1"/>
        <v>183365811.21528924</v>
      </c>
    </row>
    <row r="25" spans="1:5" x14ac:dyDescent="0.3">
      <c r="A25" s="2">
        <v>44531</v>
      </c>
      <c r="B25" s="1">
        <v>148986.18263110559</v>
      </c>
      <c r="C25">
        <f t="shared" si="0"/>
        <v>47900.134271418203</v>
      </c>
      <c r="D25" s="5">
        <f>C25-$H$3</f>
        <v>-13804.043083882942</v>
      </c>
      <c r="E25">
        <f t="shared" si="1"/>
        <v>190551605.46169648</v>
      </c>
    </row>
    <row r="26" spans="1:5" x14ac:dyDescent="0.3">
      <c r="A26" s="2">
        <v>44562</v>
      </c>
      <c r="B26" s="1">
        <v>149245.21238589598</v>
      </c>
      <c r="C26">
        <f t="shared" si="0"/>
        <v>47983.41420929991</v>
      </c>
      <c r="D26" s="5">
        <f>C26-$H$3</f>
        <v>-13720.763146001234</v>
      </c>
      <c r="E26">
        <f t="shared" si="1"/>
        <v>188259341.30866569</v>
      </c>
    </row>
    <row r="27" spans="1:5" x14ac:dyDescent="0.3">
      <c r="A27" s="2">
        <v>44593</v>
      </c>
      <c r="B27" s="1">
        <v>153276.22297917597</v>
      </c>
      <c r="C27">
        <f t="shared" si="0"/>
        <v>49279.413242617702</v>
      </c>
      <c r="D27" s="5">
        <f>C27-$H$3</f>
        <v>-12424.764112683442</v>
      </c>
      <c r="E27">
        <f t="shared" si="1"/>
        <v>154374763.25582635</v>
      </c>
    </row>
    <row r="28" spans="1:5" x14ac:dyDescent="0.3">
      <c r="A28" s="2">
        <v>44621</v>
      </c>
      <c r="B28" s="1">
        <v>160719.09835655519</v>
      </c>
      <c r="C28">
        <f t="shared" si="0"/>
        <v>51672.351457731507</v>
      </c>
      <c r="D28" s="5">
        <f>C28-$H$3</f>
        <v>-10031.825897569637</v>
      </c>
      <c r="E28">
        <f t="shared" si="1"/>
        <v>100637530.83914885</v>
      </c>
    </row>
    <row r="29" spans="1:5" x14ac:dyDescent="0.3">
      <c r="A29" s="2">
        <v>44652</v>
      </c>
      <c r="B29" s="1">
        <v>161918.16849067199</v>
      </c>
      <c r="C29">
        <f t="shared" si="0"/>
        <v>52057.861170180848</v>
      </c>
      <c r="D29" s="5">
        <f>C29-$H$3</f>
        <v>-9646.3161851202967</v>
      </c>
      <c r="E29">
        <f t="shared" si="1"/>
        <v>93051415.943313792</v>
      </c>
    </row>
    <row r="30" spans="1:5" x14ac:dyDescent="0.3">
      <c r="A30" s="2">
        <v>44682</v>
      </c>
      <c r="B30" s="1">
        <v>158277.10218603359</v>
      </c>
      <c r="C30">
        <f t="shared" si="0"/>
        <v>50887.232043349977</v>
      </c>
      <c r="D30" s="5">
        <f>C30-$H$3</f>
        <v>-10816.945311951167</v>
      </c>
      <c r="E30">
        <f t="shared" si="1"/>
        <v>117006305.88174233</v>
      </c>
    </row>
    <row r="31" spans="1:5" x14ac:dyDescent="0.3">
      <c r="A31" s="2">
        <v>44713</v>
      </c>
      <c r="B31" s="1">
        <v>158033.21982444482</v>
      </c>
      <c r="C31">
        <f t="shared" si="0"/>
        <v>50808.822101835751</v>
      </c>
      <c r="D31" s="5">
        <f>C31-$H$3</f>
        <v>-10895.355253465394</v>
      </c>
      <c r="E31">
        <f t="shared" si="1"/>
        <v>118708766.09921595</v>
      </c>
    </row>
    <row r="32" spans="1:5" x14ac:dyDescent="0.3">
      <c r="A32" s="2">
        <v>44743</v>
      </c>
      <c r="B32" s="1">
        <v>157859.47580304</v>
      </c>
      <c r="C32">
        <f t="shared" si="0"/>
        <v>50752.962143501529</v>
      </c>
      <c r="D32" s="5">
        <f>C32-$H$3</f>
        <v>-10951.215211799616</v>
      </c>
      <c r="E32">
        <f t="shared" si="1"/>
        <v>119929114.6151513</v>
      </c>
    </row>
    <row r="33" spans="1:5" x14ac:dyDescent="0.3">
      <c r="A33" s="2">
        <v>44774</v>
      </c>
      <c r="B33" s="1">
        <v>160603.08238809119</v>
      </c>
      <c r="C33">
        <f t="shared" si="0"/>
        <v>51635.051485553449</v>
      </c>
      <c r="D33" s="5">
        <f>C33-$H$3</f>
        <v>-10069.125869747695</v>
      </c>
      <c r="E33">
        <f t="shared" si="1"/>
        <v>101387295.78082228</v>
      </c>
    </row>
    <row r="34" spans="1:5" x14ac:dyDescent="0.3">
      <c r="A34" s="2">
        <v>44805</v>
      </c>
      <c r="B34" s="1">
        <v>155383.79456714398</v>
      </c>
      <c r="C34">
        <f t="shared" si="0"/>
        <v>49957.012737198056</v>
      </c>
      <c r="D34" s="5">
        <f>C34-$H$3</f>
        <v>-11747.164618103088</v>
      </c>
      <c r="E34">
        <f t="shared" si="1"/>
        <v>137995876.56481308</v>
      </c>
    </row>
    <row r="35" spans="1:5" x14ac:dyDescent="0.3">
      <c r="A35" s="2">
        <v>44835</v>
      </c>
      <c r="B35" s="1">
        <v>156676.05071775359</v>
      </c>
      <c r="C35">
        <f t="shared" si="0"/>
        <v>50372.482427300332</v>
      </c>
      <c r="D35" s="5">
        <f>C35-$H$3</f>
        <v>-11331.694928000812</v>
      </c>
      <c r="E35">
        <f t="shared" si="1"/>
        <v>128407309.94127934</v>
      </c>
    </row>
    <row r="36" spans="1:5" x14ac:dyDescent="0.3">
      <c r="A36" s="2">
        <v>44866</v>
      </c>
      <c r="B36" s="1">
        <v>161252.4296732448</v>
      </c>
      <c r="C36">
        <f t="shared" si="0"/>
        <v>51843.821329832594</v>
      </c>
      <c r="D36" s="5">
        <f>C36-$H$3</f>
        <v>-9860.3560254685508</v>
      </c>
      <c r="E36">
        <f t="shared" si="1"/>
        <v>97226620.948993951</v>
      </c>
    </row>
    <row r="37" spans="1:5" x14ac:dyDescent="0.3">
      <c r="A37" s="2">
        <v>44896</v>
      </c>
      <c r="B37" s="1">
        <v>167737.1002408464</v>
      </c>
      <c r="C37">
        <f t="shared" si="0"/>
        <v>53928.689774734805</v>
      </c>
      <c r="D37" s="5">
        <f>C37-$H$3</f>
        <v>-7775.4875805663396</v>
      </c>
      <c r="E37">
        <f t="shared" si="1"/>
        <v>60458207.115541391</v>
      </c>
    </row>
    <row r="38" spans="1:5" x14ac:dyDescent="0.3">
      <c r="A38" s="2">
        <v>44927</v>
      </c>
      <c r="B38" s="1">
        <v>174869.06526413281</v>
      </c>
      <c r="C38">
        <f t="shared" si="0"/>
        <v>56221.668064408441</v>
      </c>
      <c r="D38" s="5">
        <f>C38-$H$3</f>
        <v>-5482.5092908927036</v>
      </c>
      <c r="E38">
        <f t="shared" si="1"/>
        <v>30057908.124724817</v>
      </c>
    </row>
    <row r="39" spans="1:5" x14ac:dyDescent="0.3">
      <c r="A39" s="2">
        <v>44958</v>
      </c>
      <c r="B39" s="1">
        <v>176217.05884516801</v>
      </c>
      <c r="C39">
        <f t="shared" si="0"/>
        <v>56655.057741144243</v>
      </c>
      <c r="D39" s="5">
        <f>C39-$H$3</f>
        <v>-5049.1196141569017</v>
      </c>
      <c r="E39">
        <f t="shared" si="1"/>
        <v>25493608.87806394</v>
      </c>
    </row>
    <row r="40" spans="1:5" x14ac:dyDescent="0.3">
      <c r="A40" s="2">
        <v>44986</v>
      </c>
      <c r="B40" s="1">
        <v>179086.26126953759</v>
      </c>
      <c r="C40">
        <f t="shared" si="0"/>
        <v>57577.527053076854</v>
      </c>
      <c r="D40" s="5">
        <f>C40-$H$3</f>
        <v>-4126.6503022242905</v>
      </c>
      <c r="E40">
        <f t="shared" si="1"/>
        <v>17029242.71684783</v>
      </c>
    </row>
    <row r="41" spans="1:5" x14ac:dyDescent="0.3">
      <c r="A41" s="2">
        <v>45017</v>
      </c>
      <c r="B41" s="1">
        <v>187020.44716644959</v>
      </c>
      <c r="C41">
        <f t="shared" si="0"/>
        <v>60128.425150368799</v>
      </c>
      <c r="D41" s="5">
        <f>C41-$H$3</f>
        <v>-1575.7522049323452</v>
      </c>
      <c r="E41">
        <f t="shared" si="1"/>
        <v>2482995.0113491477</v>
      </c>
    </row>
    <row r="42" spans="1:5" x14ac:dyDescent="0.3">
      <c r="A42" s="2">
        <v>45047</v>
      </c>
      <c r="B42" s="1">
        <v>188337.4927880688</v>
      </c>
      <c r="C42">
        <f t="shared" si="0"/>
        <v>60551.864834526277</v>
      </c>
      <c r="D42" s="5">
        <f>C42-$H$3</f>
        <v>-1152.3125207748672</v>
      </c>
      <c r="E42">
        <f t="shared" si="1"/>
        <v>1327824.1455345287</v>
      </c>
    </row>
    <row r="43" spans="1:5" x14ac:dyDescent="0.3">
      <c r="A43" s="2">
        <v>45078</v>
      </c>
      <c r="B43" s="1">
        <v>183582.20663402401</v>
      </c>
      <c r="C43">
        <f t="shared" si="0"/>
        <v>59023.005974898006</v>
      </c>
      <c r="D43" s="5">
        <f>C43-$H$3</f>
        <v>-2681.1713804031388</v>
      </c>
      <c r="E43">
        <f t="shared" si="1"/>
        <v>7188679.9710928723</v>
      </c>
    </row>
    <row r="44" spans="1:5" x14ac:dyDescent="0.3">
      <c r="A44" s="2">
        <v>45108</v>
      </c>
      <c r="B44" s="1">
        <v>183314.87225092799</v>
      </c>
      <c r="C44">
        <f t="shared" si="0"/>
        <v>58937.056039007824</v>
      </c>
      <c r="D44" s="5">
        <f>C44-$H$3</f>
        <v>-2767.12131629332</v>
      </c>
      <c r="E44">
        <f t="shared" si="1"/>
        <v>7656960.3790848758</v>
      </c>
    </row>
    <row r="45" spans="1:5" x14ac:dyDescent="0.3">
      <c r="A45" s="2">
        <v>45139</v>
      </c>
      <c r="B45" s="1">
        <v>182646.3963275424</v>
      </c>
      <c r="C45">
        <f t="shared" si="0"/>
        <v>58722.136199315959</v>
      </c>
      <c r="D45" s="5">
        <f>C45-$H$3</f>
        <v>-2982.0411559851855</v>
      </c>
      <c r="E45">
        <f t="shared" si="1"/>
        <v>8892569.4559894614</v>
      </c>
    </row>
    <row r="46" spans="1:5" x14ac:dyDescent="0.3">
      <c r="A46" s="2">
        <v>45170</v>
      </c>
      <c r="B46" s="1">
        <v>182843.12581830239</v>
      </c>
      <c r="C46">
        <f t="shared" si="0"/>
        <v>58785.386152137988</v>
      </c>
      <c r="D46" s="5">
        <f>C46-$H$3</f>
        <v>-2918.7912031631568</v>
      </c>
      <c r="E46">
        <f t="shared" si="1"/>
        <v>8519342.0876626279</v>
      </c>
    </row>
    <row r="47" spans="1:5" x14ac:dyDescent="0.3">
      <c r="A47" s="2">
        <v>45200</v>
      </c>
      <c r="B47" s="1">
        <v>183052.39001021278</v>
      </c>
      <c r="C47">
        <f t="shared" si="0"/>
        <v>58852.666101954048</v>
      </c>
      <c r="D47" s="5">
        <f>C47-$H$3</f>
        <v>-2851.5112533470965</v>
      </c>
      <c r="E47">
        <f t="shared" si="1"/>
        <v>8131116.4279651288</v>
      </c>
    </row>
    <row r="48" spans="1:5" x14ac:dyDescent="0.3">
      <c r="A48" s="2">
        <v>45231</v>
      </c>
      <c r="B48" s="1">
        <v>189013.71347717757</v>
      </c>
      <c r="C48">
        <f t="shared" si="0"/>
        <v>60769.274672360851</v>
      </c>
      <c r="D48" s="5">
        <f>C48-$H$3</f>
        <v>-934.90268294029374</v>
      </c>
      <c r="E48">
        <f t="shared" si="1"/>
        <v>874043.02656895947</v>
      </c>
    </row>
    <row r="49" spans="1:5" x14ac:dyDescent="0.3">
      <c r="A49" s="2">
        <v>45261</v>
      </c>
      <c r="B49" s="1">
        <v>193521.94471499999</v>
      </c>
      <c r="C49">
        <f t="shared" si="0"/>
        <v>62218.70359123571</v>
      </c>
      <c r="D49" s="5">
        <f>C49-$H$3</f>
        <v>514.52623593456519</v>
      </c>
      <c r="E49">
        <f t="shared" si="1"/>
        <v>264737.24746499187</v>
      </c>
    </row>
    <row r="50" spans="1:5" x14ac:dyDescent="0.3">
      <c r="A50" s="2">
        <v>45292</v>
      </c>
      <c r="B50" s="1">
        <v>193887.62829173758</v>
      </c>
      <c r="C50">
        <f t="shared" si="0"/>
        <v>62336.273503540622</v>
      </c>
      <c r="D50" s="5">
        <f>C50-$H$3</f>
        <v>632.09614823947777</v>
      </c>
      <c r="E50">
        <f t="shared" si="1"/>
        <v>399545.54061918386</v>
      </c>
    </row>
    <row r="51" spans="1:5" x14ac:dyDescent="0.3">
      <c r="A51" s="2">
        <v>45323</v>
      </c>
      <c r="B51" s="1">
        <v>192937.2304546368</v>
      </c>
      <c r="C51">
        <f t="shared" si="0"/>
        <v>62030.713731456839</v>
      </c>
      <c r="D51" s="5">
        <f>C51-$H$3</f>
        <v>326.5363761556946</v>
      </c>
      <c r="E51">
        <f t="shared" si="1"/>
        <v>106626.00495289327</v>
      </c>
    </row>
    <row r="52" spans="1:5" x14ac:dyDescent="0.3">
      <c r="A52" s="2">
        <v>45352</v>
      </c>
      <c r="B52" s="1">
        <v>203123.58800316</v>
      </c>
      <c r="C52">
        <f t="shared" si="0"/>
        <v>65305.701288652395</v>
      </c>
      <c r="D52" s="5">
        <f>C52-$H$3</f>
        <v>3601.5239333512509</v>
      </c>
      <c r="E52">
        <f t="shared" si="1"/>
        <v>12970974.642501865</v>
      </c>
    </row>
    <row r="53" spans="1:5" x14ac:dyDescent="0.3">
      <c r="A53" s="2">
        <v>45383</v>
      </c>
      <c r="B53" s="1">
        <v>222332.8775505024</v>
      </c>
      <c r="C53">
        <f t="shared" si="0"/>
        <v>71481.626682046204</v>
      </c>
      <c r="D53" s="5">
        <f>C53-$H$3</f>
        <v>9777.4493267450598</v>
      </c>
      <c r="E53">
        <f t="shared" si="1"/>
        <v>95598515.337067425</v>
      </c>
    </row>
    <row r="54" spans="1:5" x14ac:dyDescent="0.3">
      <c r="A54" s="2">
        <v>45413</v>
      </c>
      <c r="B54" s="1">
        <v>224506.10857799518</v>
      </c>
      <c r="C54">
        <f t="shared" si="0"/>
        <v>72180.336160880674</v>
      </c>
      <c r="D54" s="5">
        <f>C54-$H$3</f>
        <v>10476.158805579529</v>
      </c>
      <c r="E54">
        <f t="shared" si="1"/>
        <v>109749903.31972151</v>
      </c>
    </row>
    <row r="55" spans="1:5" x14ac:dyDescent="0.3">
      <c r="A55" s="2">
        <v>45444</v>
      </c>
      <c r="B55" s="1">
        <v>222532.31304374398</v>
      </c>
      <c r="C55">
        <f t="shared" si="0"/>
        <v>71545.746634219293</v>
      </c>
      <c r="D55" s="5">
        <f>C55-$H$3</f>
        <v>9841.5692789181485</v>
      </c>
      <c r="E55">
        <f t="shared" si="1"/>
        <v>96856485.871745482</v>
      </c>
    </row>
    <row r="56" spans="1:5" x14ac:dyDescent="0.3">
      <c r="A56" s="2">
        <v>45474</v>
      </c>
      <c r="B56" s="1">
        <v>222015.52877671196</v>
      </c>
      <c r="C56">
        <f t="shared" si="0"/>
        <v>71379.59675815003</v>
      </c>
      <c r="D56" s="5">
        <f>C56-$H$3</f>
        <v>9675.4194028488855</v>
      </c>
      <c r="E56">
        <f t="shared" si="1"/>
        <v>93613740.621024683</v>
      </c>
    </row>
    <row r="57" spans="1:5" x14ac:dyDescent="0.3">
      <c r="A57" s="2">
        <v>45505</v>
      </c>
      <c r="B57" s="1">
        <v>218908.63358263677</v>
      </c>
      <c r="C57">
        <f t="shared" si="0"/>
        <v>70380.707503218859</v>
      </c>
      <c r="D57" s="5">
        <f>C57-$H$3</f>
        <v>8676.5301479177142</v>
      </c>
      <c r="E57">
        <f t="shared" si="1"/>
        <v>75282175.407724991</v>
      </c>
    </row>
    <row r="58" spans="1:5" x14ac:dyDescent="0.3">
      <c r="A58" s="2">
        <v>45536</v>
      </c>
      <c r="B58" s="1">
        <v>226690.56796061283</v>
      </c>
      <c r="C58">
        <f t="shared" si="0"/>
        <v>72882.655637022472</v>
      </c>
      <c r="D58" s="5">
        <f>C58-$H$3</f>
        <v>11178.478281721327</v>
      </c>
      <c r="E58">
        <f t="shared" si="1"/>
        <v>124958376.6949154</v>
      </c>
    </row>
    <row r="59" spans="1:5" x14ac:dyDescent="0.3">
      <c r="A59" s="2">
        <v>45566</v>
      </c>
      <c r="B59" s="1">
        <v>238584.16424721119</v>
      </c>
      <c r="C59">
        <f t="shared" si="0"/>
        <v>76706.532784802723</v>
      </c>
      <c r="D59" s="5">
        <f>C59-$H$3</f>
        <v>15002.355429501578</v>
      </c>
      <c r="E59">
        <f t="shared" si="1"/>
        <v>225070668.43309548</v>
      </c>
    </row>
    <row r="60" spans="1:5" x14ac:dyDescent="0.3">
      <c r="A60" s="2">
        <v>45597</v>
      </c>
      <c r="B60" s="1">
        <v>237221.48982512639</v>
      </c>
      <c r="C60">
        <f t="shared" si="0"/>
        <v>76268.423111587559</v>
      </c>
      <c r="D60" s="5">
        <f>C60-$H$3</f>
        <v>14564.245756286415</v>
      </c>
      <c r="E60">
        <f t="shared" si="1"/>
        <v>212117254.44950685</v>
      </c>
    </row>
    <row r="61" spans="1:5" x14ac:dyDescent="0.3">
      <c r="A61" s="2">
        <v>45627</v>
      </c>
      <c r="B61" s="1">
        <v>237068.92727142238</v>
      </c>
      <c r="C61">
        <f t="shared" si="0"/>
        <v>76219.373148173792</v>
      </c>
      <c r="D61" s="5">
        <f>C61-$H$3</f>
        <v>14515.195792872648</v>
      </c>
      <c r="E61">
        <f t="shared" si="1"/>
        <v>210690908.90542781</v>
      </c>
    </row>
    <row r="62" spans="1:5" x14ac:dyDescent="0.3">
      <c r="A62" s="2">
        <v>45658</v>
      </c>
      <c r="B62" s="1">
        <v>244581.66105769441</v>
      </c>
      <c r="C62">
        <f t="shared" si="0"/>
        <v>78634.771346534762</v>
      </c>
      <c r="D62" s="5">
        <f>C62-$H$3</f>
        <v>16930.593991233618</v>
      </c>
      <c r="E62">
        <f t="shared" si="1"/>
        <v>286645012.89599591</v>
      </c>
    </row>
    <row r="63" spans="1:5" x14ac:dyDescent="0.3">
      <c r="A63" s="2">
        <v>45689</v>
      </c>
      <c r="B63" s="1">
        <v>264634.60130976001</v>
      </c>
      <c r="C63">
        <f t="shared" si="0"/>
        <v>85081.936537611531</v>
      </c>
      <c r="D63" s="5">
        <f>C63-$H$3</f>
        <v>23377.759182310387</v>
      </c>
      <c r="E63">
        <f t="shared" si="1"/>
        <v>546519624.38609755</v>
      </c>
    </row>
    <row r="64" spans="1:5" x14ac:dyDescent="0.3">
      <c r="A64" s="2">
        <v>45717</v>
      </c>
      <c r="B64" s="1">
        <v>270416.58212949598</v>
      </c>
      <c r="C64">
        <f t="shared" si="0"/>
        <v>86940.885151026727</v>
      </c>
      <c r="D64" s="5">
        <f>C64-$H$3</f>
        <v>25236.707795725582</v>
      </c>
      <c r="E64">
        <f t="shared" si="1"/>
        <v>636891420.36683643</v>
      </c>
    </row>
    <row r="65" spans="1:5" x14ac:dyDescent="0.3">
      <c r="A65" s="2">
        <v>45748</v>
      </c>
      <c r="B65" s="1">
        <v>288759.4843305744</v>
      </c>
      <c r="C65">
        <f t="shared" si="0"/>
        <v>92838.260752190079</v>
      </c>
      <c r="D65" s="5">
        <f>C65-$H$3</f>
        <v>31134.083396888935</v>
      </c>
      <c r="E65">
        <f t="shared" si="1"/>
        <v>969331148.96443522</v>
      </c>
    </row>
    <row r="66" spans="1:5" x14ac:dyDescent="0.3">
      <c r="A66" s="2">
        <v>45778</v>
      </c>
      <c r="B66" s="1">
        <v>294382.12203866401</v>
      </c>
      <c r="C66">
        <f t="shared" si="0"/>
        <v>94645.979403817575</v>
      </c>
      <c r="D66" s="5">
        <f>C66-$H$3</f>
        <v>32941.802048516431</v>
      </c>
      <c r="E66">
        <f t="shared" si="1"/>
        <v>1085162322.2036414</v>
      </c>
    </row>
    <row r="67" spans="1:5" x14ac:dyDescent="0.3">
      <c r="A67" s="2">
        <v>45809</v>
      </c>
      <c r="B67" s="1">
        <v>302184.49140089762</v>
      </c>
      <c r="C67">
        <f t="shared" ref="C67:C72" si="2">B67*10/31.1035</f>
        <v>97154.497532720619</v>
      </c>
      <c r="D67" s="5">
        <f>C67-$H$3</f>
        <v>35450.320177419475</v>
      </c>
      <c r="E67">
        <f t="shared" ref="E67:E72" si="3">D67*D67</f>
        <v>1256725200.6815543</v>
      </c>
    </row>
    <row r="68" spans="1:5" x14ac:dyDescent="0.3">
      <c r="A68" s="2">
        <v>45839</v>
      </c>
      <c r="B68" s="1">
        <v>303447.01262768637</v>
      </c>
      <c r="C68">
        <f t="shared" si="2"/>
        <v>97560.407229953664</v>
      </c>
      <c r="D68" s="5">
        <f>C68-$H$3</f>
        <v>35856.229874652519</v>
      </c>
      <c r="E68">
        <f t="shared" si="3"/>
        <v>1285669220.8239238</v>
      </c>
    </row>
    <row r="69" spans="1:5" x14ac:dyDescent="0.3">
      <c r="A69" s="2">
        <v>45870</v>
      </c>
      <c r="B69" s="1">
        <v>310116.43784748</v>
      </c>
      <c r="C69">
        <f t="shared" si="2"/>
        <v>99704.675630549609</v>
      </c>
      <c r="D69" s="5">
        <f>C69-$H$3</f>
        <v>38000.498275248465</v>
      </c>
      <c r="E69">
        <f t="shared" si="3"/>
        <v>1444037869.1671615</v>
      </c>
    </row>
    <row r="70" spans="1:5" x14ac:dyDescent="0.3">
      <c r="A70" s="2">
        <v>45901</v>
      </c>
      <c r="B70" s="1">
        <v>340819.89283235517</v>
      </c>
      <c r="C70">
        <f t="shared" si="2"/>
        <v>109576.05826751175</v>
      </c>
      <c r="D70" s="5">
        <f>C70-$H$3</f>
        <v>47871.880912210603</v>
      </c>
      <c r="E70">
        <f t="shared" si="3"/>
        <v>2291716982.0728741</v>
      </c>
    </row>
    <row r="71" spans="1:5" x14ac:dyDescent="0.3">
      <c r="A71" s="2">
        <v>45931</v>
      </c>
      <c r="B71" s="1">
        <v>381998.34563045762</v>
      </c>
      <c r="C71">
        <f t="shared" si="2"/>
        <v>122815.22839245024</v>
      </c>
      <c r="D71" s="5">
        <f>C71-$H$3</f>
        <v>61111.051037149096</v>
      </c>
      <c r="E71">
        <f t="shared" si="3"/>
        <v>3734560558.8650417</v>
      </c>
    </row>
    <row r="72" spans="1:5" x14ac:dyDescent="0.3">
      <c r="A72" s="2">
        <v>45962</v>
      </c>
      <c r="B72" s="1">
        <v>382098.90317095199</v>
      </c>
      <c r="C72">
        <f t="shared" si="2"/>
        <v>122847.55836833541</v>
      </c>
      <c r="D72" s="5">
        <f>C72-$H$3</f>
        <v>61143.381013034261</v>
      </c>
      <c r="E72">
        <f t="shared" si="3"/>
        <v>3738513041.7050786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cp:lastPrinted>2025-12-16T18:40:21Z</cp:lastPrinted>
  <dcterms:created xsi:type="dcterms:W3CDTF">2025-12-16T17:52:04Z</dcterms:created>
  <dcterms:modified xsi:type="dcterms:W3CDTF">2025-12-16T18:40:54Z</dcterms:modified>
</cp:coreProperties>
</file>